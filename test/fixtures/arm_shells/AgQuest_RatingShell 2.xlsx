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questresearch-my.sharepoint.com/personal/parminder_brar_agquest_com/Documents/Desktop/"/>
    </mc:Choice>
  </mc:AlternateContent>
  <xr:revisionPtr revIDLastSave="0" documentId="13_ncr:80000009_{0D9AF2FB-BCCE-46FB-A508-B61ECCA7F815}" xr6:coauthVersionLast="47" xr6:coauthVersionMax="47" xr10:uidLastSave="{00000000-0000-0000-0000-000000000000}"/>
  <bookViews>
    <workbookView xWindow="-108" yWindow="-108" windowWidth="23256" windowHeight="12456" xr2:uid="{F6049E1A-D17F-4E74-B6F4-24C926DD4B9A}"/>
  </bookViews>
  <sheets>
    <sheet name="Plot Data" sheetId="1" r:id="rId1"/>
    <sheet name="Treatment Means" sheetId="5" r:id="rId2"/>
    <sheet name="Subsample Plot Data" sheetId="6" r:id="rId3"/>
    <sheet name="Subsample Treatment Means" sheetId="7" r:id="rId4"/>
    <sheet name="Applications" sheetId="2" r:id="rId5"/>
    <sheet name="Comments" sheetId="3" r:id="rId6"/>
    <sheet name="Treatments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7" l="1"/>
  <c r="C2" i="7"/>
  <c r="D2" i="7"/>
  <c r="E2" i="7"/>
  <c r="F2" i="7"/>
  <c r="G2" i="7"/>
  <c r="H2" i="7"/>
  <c r="I2" i="7"/>
  <c r="J2" i="7"/>
  <c r="K2" i="7"/>
  <c r="L2" i="7"/>
  <c r="M2" i="7"/>
  <c r="B3" i="7"/>
  <c r="C3" i="7"/>
  <c r="D3" i="7"/>
  <c r="E3" i="7"/>
  <c r="F3" i="7"/>
  <c r="G3" i="7"/>
  <c r="H3" i="7"/>
  <c r="I3" i="7"/>
  <c r="J3" i="7"/>
  <c r="K3" i="7"/>
  <c r="L3" i="7"/>
  <c r="M3" i="7"/>
  <c r="B4" i="7"/>
  <c r="C4" i="7"/>
  <c r="D4" i="7"/>
  <c r="E4" i="7"/>
  <c r="F4" i="7"/>
  <c r="G4" i="7"/>
  <c r="H4" i="7"/>
  <c r="I4" i="7"/>
  <c r="J4" i="7"/>
  <c r="K4" i="7"/>
  <c r="L4" i="7"/>
  <c r="M4" i="7"/>
  <c r="B5" i="7"/>
  <c r="C5" i="7"/>
  <c r="D5" i="7"/>
  <c r="E5" i="7"/>
  <c r="F5" i="7"/>
  <c r="G5" i="7"/>
  <c r="H5" i="7"/>
  <c r="I5" i="7"/>
  <c r="J5" i="7"/>
  <c r="K5" i="7"/>
  <c r="L5" i="7"/>
  <c r="M5" i="7"/>
  <c r="B2" i="5"/>
  <c r="C2" i="5"/>
  <c r="D2" i="5"/>
  <c r="E2" i="5"/>
  <c r="F2" i="5"/>
  <c r="G2" i="5"/>
  <c r="H2" i="5"/>
  <c r="I2" i="5"/>
  <c r="J2" i="5"/>
  <c r="K2" i="5"/>
  <c r="L2" i="5"/>
  <c r="M2" i="5"/>
  <c r="B3" i="5"/>
  <c r="C3" i="5"/>
  <c r="D3" i="5"/>
  <c r="E3" i="5"/>
  <c r="F3" i="5"/>
  <c r="G3" i="5"/>
  <c r="H3" i="5"/>
  <c r="I3" i="5"/>
  <c r="J3" i="5"/>
  <c r="K3" i="5"/>
  <c r="L3" i="5"/>
  <c r="M3" i="5"/>
  <c r="B4" i="5"/>
  <c r="C4" i="5"/>
  <c r="D4" i="5"/>
  <c r="E4" i="5"/>
  <c r="F4" i="5"/>
  <c r="G4" i="5"/>
  <c r="H4" i="5"/>
  <c r="I4" i="5"/>
  <c r="J4" i="5"/>
  <c r="K4" i="5"/>
  <c r="L4" i="5"/>
  <c r="M4" i="5"/>
  <c r="B5" i="5"/>
  <c r="C5" i="5"/>
  <c r="D5" i="5"/>
  <c r="E5" i="5"/>
  <c r="F5" i="5"/>
  <c r="G5" i="5"/>
  <c r="H5" i="5"/>
  <c r="I5" i="5"/>
  <c r="J5" i="5"/>
  <c r="K5" i="5"/>
  <c r="L5" i="5"/>
  <c r="M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L Smith</author>
  </authors>
  <commentList>
    <comment ref="B71" authorId="0" shapeId="0" xr:uid="{63BE62FD-E502-4E8A-BC07-54412362D17D}">
      <text>
        <r>
          <rPr>
            <sz val="9"/>
            <color indexed="81"/>
            <rFont val="Tahoma"/>
            <charset val="1"/>
          </rPr>
          <t>Also known as Spray Volume</t>
        </r>
      </text>
    </comment>
  </commentList>
</comments>
</file>

<file path=xl/sharedStrings.xml><?xml version="1.0" encoding="utf-8"?>
<sst xmlns="http://schemas.openxmlformats.org/spreadsheetml/2006/main" count="796" uniqueCount="314">
  <si>
    <t>Trt-Eval Interval</t>
  </si>
  <si>
    <t># Subsamples</t>
  </si>
  <si>
    <t>Pest Code</t>
  </si>
  <si>
    <t>Crop Code</t>
  </si>
  <si>
    <t>Rating Type</t>
  </si>
  <si>
    <t>Rating Unit</t>
  </si>
  <si>
    <t>Rating Date</t>
  </si>
  <si>
    <t>Pest Density</t>
  </si>
  <si>
    <t>001EID</t>
  </si>
  <si>
    <t>TT</t>
  </si>
  <si>
    <t>T#</t>
  </si>
  <si>
    <t>Title</t>
  </si>
  <si>
    <t>Trial ID</t>
  </si>
  <si>
    <t>CN</t>
  </si>
  <si>
    <t>Cooperator</t>
  </si>
  <si>
    <t>CRA1</t>
  </si>
  <si>
    <t>Crop</t>
  </si>
  <si>
    <t>Plot (Sub)</t>
  </si>
  <si>
    <t>XL</t>
  </si>
  <si>
    <t>ARM Pull Flag</t>
  </si>
  <si>
    <t>ARM Column ID</t>
  </si>
  <si>
    <t>AMA</t>
  </si>
  <si>
    <t>ADA</t>
  </si>
  <si>
    <t>Application Date</t>
  </si>
  <si>
    <t>ATA</t>
  </si>
  <si>
    <t>AIA</t>
  </si>
  <si>
    <t>TEA</t>
  </si>
  <si>
    <t>RHA</t>
  </si>
  <si>
    <t>WVA</t>
  </si>
  <si>
    <t>WUA</t>
  </si>
  <si>
    <t>DPA</t>
  </si>
  <si>
    <t>SEA</t>
  </si>
  <si>
    <t>Soil Temperature</t>
  </si>
  <si>
    <t>SNA</t>
  </si>
  <si>
    <t>SMA</t>
  </si>
  <si>
    <t>Soil Moisture</t>
  </si>
  <si>
    <t>CCA</t>
  </si>
  <si>
    <t>% Cloud Cover</t>
  </si>
  <si>
    <t>SYA</t>
  </si>
  <si>
    <t>Appl. Equipment</t>
  </si>
  <si>
    <t>OPA</t>
  </si>
  <si>
    <t>Spray Pressure</t>
  </si>
  <si>
    <t>NTA</t>
  </si>
  <si>
    <t>Nozzle Type</t>
  </si>
  <si>
    <t>NZA</t>
  </si>
  <si>
    <t>Nozzle Size</t>
  </si>
  <si>
    <t>NSA</t>
  </si>
  <si>
    <t>Nozzle Spacing</t>
  </si>
  <si>
    <t>NUA</t>
  </si>
  <si>
    <t>NRA</t>
  </si>
  <si>
    <t>Nozzles/Row</t>
  </si>
  <si>
    <t>BWA</t>
  </si>
  <si>
    <t>Band Width</t>
  </si>
  <si>
    <t>BUA</t>
  </si>
  <si>
    <t>LBA</t>
  </si>
  <si>
    <t>LUA</t>
  </si>
  <si>
    <t>HBA</t>
  </si>
  <si>
    <t>Boom Height</t>
  </si>
  <si>
    <t>HUA</t>
  </si>
  <si>
    <t>GSA</t>
  </si>
  <si>
    <t>Ground Speed</t>
  </si>
  <si>
    <t>GUA</t>
  </si>
  <si>
    <t>IEA</t>
  </si>
  <si>
    <t>Incorp. Equipment</t>
  </si>
  <si>
    <t>#HA</t>
  </si>
  <si>
    <t># Hours to Incorp.</t>
  </si>
  <si>
    <t>DNA</t>
  </si>
  <si>
    <t>Incorp. Depth</t>
  </si>
  <si>
    <t>DUA</t>
  </si>
  <si>
    <t>DCA</t>
  </si>
  <si>
    <t>Carrier</t>
  </si>
  <si>
    <t>SVA</t>
  </si>
  <si>
    <t>SUA</t>
  </si>
  <si>
    <t>Enter all comments in cell below:</t>
  </si>
  <si>
    <t>ECM</t>
  </si>
  <si>
    <t>Appl. Method</t>
  </si>
  <si>
    <t>Appl. Timing</t>
  </si>
  <si>
    <t>AOA</t>
  </si>
  <si>
    <t>ANA</t>
  </si>
  <si>
    <t>Appl. Placement</t>
  </si>
  <si>
    <t>Water Hardness</t>
  </si>
  <si>
    <t>WHA</t>
  </si>
  <si>
    <t>Spray pH</t>
  </si>
  <si>
    <t>SHA</t>
  </si>
  <si>
    <t>Propellant</t>
  </si>
  <si>
    <t>TPA</t>
  </si>
  <si>
    <t>TMA</t>
  </si>
  <si>
    <t>Tank Mix (Y/N)</t>
  </si>
  <si>
    <t/>
  </si>
  <si>
    <t>Part Rated</t>
  </si>
  <si>
    <t xml:space="preserve">  Density Unit</t>
  </si>
  <si>
    <t>Assessed By</t>
  </si>
  <si>
    <t>ARM Actions</t>
  </si>
  <si>
    <t>Pest Name</t>
  </si>
  <si>
    <t>Crop Name</t>
  </si>
  <si>
    <t>Crop Variety</t>
  </si>
  <si>
    <t>Description</t>
  </si>
  <si>
    <t>Sample Size</t>
  </si>
  <si>
    <t>Size Unit</t>
  </si>
  <si>
    <t>Collect. Basis</t>
  </si>
  <si>
    <t>Basis Unit</t>
  </si>
  <si>
    <t>Stage Scale</t>
  </si>
  <si>
    <t>Crop Density</t>
  </si>
  <si>
    <t>AEA</t>
  </si>
  <si>
    <t>Applied By</t>
  </si>
  <si>
    <t>WDA</t>
  </si>
  <si>
    <t>OUA</t>
  </si>
  <si>
    <t>NVA</t>
  </si>
  <si>
    <t>Noz. Calibration</t>
  </si>
  <si>
    <t>NWA</t>
  </si>
  <si>
    <t>MSA</t>
  </si>
  <si>
    <t>Mix Size</t>
  </si>
  <si>
    <t>JUA</t>
  </si>
  <si>
    <t>Rating Timing</t>
  </si>
  <si>
    <t>@FA</t>
  </si>
  <si>
    <t>BIA</t>
  </si>
  <si>
    <t>Boom ID</t>
  </si>
  <si>
    <t>Report. Basis</t>
  </si>
  <si>
    <t>Crop Stage Maj.</t>
  </si>
  <si>
    <t>Crop Stage Min.</t>
  </si>
  <si>
    <t>Crop Stage Max.</t>
  </si>
  <si>
    <t>Pest Stage Maj.</t>
  </si>
  <si>
    <t>Pest Stage Min.</t>
  </si>
  <si>
    <t>Pest Stage Max.</t>
  </si>
  <si>
    <t>Untrt.RatingType</t>
  </si>
  <si>
    <t>002E~P</t>
  </si>
  <si>
    <t>Pest Type</t>
  </si>
  <si>
    <t>Crop or Pest</t>
  </si>
  <si>
    <t>003EPT</t>
  </si>
  <si>
    <t>004EPG</t>
  </si>
  <si>
    <t>005ECR</t>
  </si>
  <si>
    <t>006ECG</t>
  </si>
  <si>
    <t>007ECV</t>
  </si>
  <si>
    <t>008ECE</t>
  </si>
  <si>
    <t>SZA</t>
  </si>
  <si>
    <t>Equipment Type</t>
  </si>
  <si>
    <t>%VA</t>
  </si>
  <si>
    <t>% Coverage</t>
  </si>
  <si>
    <t>FXA</t>
  </si>
  <si>
    <t>Row Sides Applied</t>
  </si>
  <si>
    <t>Boom Length</t>
  </si>
  <si>
    <t>Rating Time</t>
  </si>
  <si>
    <t>Equipment</t>
  </si>
  <si>
    <t>Plant-Eval Interval</t>
  </si>
  <si>
    <t>Start Time</t>
  </si>
  <si>
    <t>Stop Time</t>
  </si>
  <si>
    <t>FIA</t>
  </si>
  <si>
    <t>IJA</t>
  </si>
  <si>
    <t>IKA</t>
  </si>
  <si>
    <t>Interval to Prev. Appl.</t>
  </si>
  <si>
    <t xml:space="preserve">  Interval Unit</t>
  </si>
  <si>
    <t>^HA</t>
  </si>
  <si>
    <t>^IA</t>
  </si>
  <si>
    <t>Time to Next Moisture</t>
  </si>
  <si>
    <t xml:space="preserve">  Time Unit</t>
  </si>
  <si>
    <t>NMA</t>
  </si>
  <si>
    <t>NNA</t>
  </si>
  <si>
    <t>DQA</t>
  </si>
  <si>
    <t>GTA</t>
  </si>
  <si>
    <t>GVA</t>
  </si>
  <si>
    <t>Noz. Filter Mesh</t>
  </si>
  <si>
    <t xml:space="preserve">  Filter Mesh Unit</t>
  </si>
  <si>
    <t>Spray Quality</t>
  </si>
  <si>
    <t>Time to Treat 1 Plot</t>
  </si>
  <si>
    <t xml:space="preserve">  Time 1 Plot Unit</t>
  </si>
  <si>
    <t>009EED</t>
  </si>
  <si>
    <t>SE Name</t>
  </si>
  <si>
    <t>010ETD</t>
  </si>
  <si>
    <t>011EEV</t>
  </si>
  <si>
    <t>012ECP</t>
  </si>
  <si>
    <t>013ERF</t>
  </si>
  <si>
    <t>014EDT</t>
  </si>
  <si>
    <t>015ERU</t>
  </si>
  <si>
    <t>016EBS</t>
  </si>
  <si>
    <t>017EBU</t>
  </si>
  <si>
    <t>018EUS</t>
  </si>
  <si>
    <t>019EUU</t>
  </si>
  <si>
    <r>
      <t>020ER</t>
    </r>
    <r>
      <rPr>
        <sz val="10"/>
        <rFont val="Arial"/>
      </rPr>
      <t>S</t>
    </r>
  </si>
  <si>
    <t>021ERN</t>
  </si>
  <si>
    <t>022ECN</t>
  </si>
  <si>
    <t>023ECS</t>
  </si>
  <si>
    <t>024ECL</t>
  </si>
  <si>
    <t>025ECX</t>
  </si>
  <si>
    <t>026ECD</t>
  </si>
  <si>
    <t>027ECU</t>
  </si>
  <si>
    <t>028EPS</t>
  </si>
  <si>
    <t>029EPL</t>
  </si>
  <si>
    <t>030EPX</t>
  </si>
  <si>
    <t>031EPD</t>
  </si>
  <si>
    <t>032EPU</t>
  </si>
  <si>
    <t>033EAB</t>
  </si>
  <si>
    <t>034EQP</t>
  </si>
  <si>
    <t>035EET</t>
  </si>
  <si>
    <t>036ETI</t>
  </si>
  <si>
    <t>037EPI</t>
  </si>
  <si>
    <t>038EUT</t>
  </si>
  <si>
    <t>039EDP</t>
  </si>
  <si>
    <t>040ENS</t>
  </si>
  <si>
    <t>041TRT</t>
  </si>
  <si>
    <t>Air Temp. Start</t>
  </si>
  <si>
    <t>^AA</t>
  </si>
  <si>
    <t>Air Temp. Stop</t>
  </si>
  <si>
    <t xml:space="preserve">  Air Temp. Unit</t>
  </si>
  <si>
    <t>% Rel. Humidity Start</t>
  </si>
  <si>
    <t>_HA</t>
  </si>
  <si>
    <t>% Rel. Humidity Stop</t>
  </si>
  <si>
    <t>Wind Velocity Start</t>
  </si>
  <si>
    <t xml:space="preserve">  Wind Direction</t>
  </si>
  <si>
    <t>W#A</t>
  </si>
  <si>
    <t>Wind Velocity Stop</t>
  </si>
  <si>
    <t>W_A</t>
  </si>
  <si>
    <t>WTA</t>
  </si>
  <si>
    <t>Wind Velocity Max</t>
  </si>
  <si>
    <t>W~A</t>
  </si>
  <si>
    <t>Wind Velocity Unit</t>
  </si>
  <si>
    <t>Wet Leaves (Y/N)</t>
  </si>
  <si>
    <t xml:space="preserve">  Soil Temp. Unit</t>
  </si>
  <si>
    <t>S$A</t>
  </si>
  <si>
    <t>Soil Surface Condition</t>
  </si>
  <si>
    <t>Next Moisture Occurred On</t>
  </si>
  <si>
    <t>^FA</t>
  </si>
  <si>
    <t>Moisture 6 Hours after Appl.</t>
  </si>
  <si>
    <t>^GA</t>
  </si>
  <si>
    <t xml:space="preserve">  Moisture Unit</t>
  </si>
  <si>
    <t>^RA</t>
  </si>
  <si>
    <t>Moisture 1 Week after Appl.</t>
  </si>
  <si>
    <t>^WA</t>
  </si>
  <si>
    <t>W^A</t>
  </si>
  <si>
    <t>Weather Source</t>
  </si>
  <si>
    <t xml:space="preserve">  Pressure Unit</t>
  </si>
  <si>
    <t xml:space="preserve">  Spacing Unit</t>
  </si>
  <si>
    <t xml:space="preserve">  Calibration Unit</t>
  </si>
  <si>
    <t xml:space="preserve">  Width Unit</t>
  </si>
  <si>
    <t xml:space="preserve">  Length Unit</t>
  </si>
  <si>
    <t xml:space="preserve">  Height Unit</t>
  </si>
  <si>
    <t>_FA</t>
  </si>
  <si>
    <t>Boom Flow Rate</t>
  </si>
  <si>
    <t>_UA</t>
  </si>
  <si>
    <t xml:space="preserve">  Flow Rate Unit</t>
  </si>
  <si>
    <t xml:space="preserve">  Speed Unit</t>
  </si>
  <si>
    <t xml:space="preserve">  Depth Unit</t>
  </si>
  <si>
    <t>Application Amount</t>
  </si>
  <si>
    <t xml:space="preserve">  Amount Unit</t>
  </si>
  <si>
    <t>M^A</t>
  </si>
  <si>
    <t>Mix Overage</t>
  </si>
  <si>
    <t>JOA</t>
  </si>
  <si>
    <t xml:space="preserve">  Overage Unit</t>
  </si>
  <si>
    <t xml:space="preserve">  Mix Size Unit</t>
  </si>
  <si>
    <t>AgQuest Demo Trial</t>
  </si>
  <si>
    <t>AgQuest</t>
  </si>
  <si>
    <t>ALLSA</t>
  </si>
  <si>
    <t>2026-04-02</t>
  </si>
  <si>
    <t>2026-04-10</t>
  </si>
  <si>
    <t>2026-04-15</t>
  </si>
  <si>
    <t>2026-04-23</t>
  </si>
  <si>
    <t>W003</t>
  </si>
  <si>
    <t>W001</t>
  </si>
  <si>
    <t>CF013</t>
  </si>
  <si>
    <t>PLANT</t>
  </si>
  <si>
    <t>LEAF3</t>
  </si>
  <si>
    <t>CONTRO</t>
  </si>
  <si>
    <t>LODGIN</t>
  </si>
  <si>
    <t>PESINC</t>
  </si>
  <si>
    <t>%</t>
  </si>
  <si>
    <t>PLOT</t>
  </si>
  <si>
    <t>A1</t>
  </si>
  <si>
    <t>A3</t>
  </si>
  <si>
    <t>A9</t>
  </si>
  <si>
    <t>A6</t>
  </si>
  <si>
    <t>A4</t>
  </si>
  <si>
    <t>AA</t>
  </si>
  <si>
    <t>-28 DA-A</t>
  </si>
  <si>
    <t>-20 DA-A</t>
  </si>
  <si>
    <t>-15 DA-A</t>
  </si>
  <si>
    <t>-7 DA-A</t>
  </si>
  <si>
    <t>-7 DP-1</t>
  </si>
  <si>
    <t>1 DP-1</t>
  </si>
  <si>
    <t>6 DP-1</t>
  </si>
  <si>
    <t>14 DP-1</t>
  </si>
  <si>
    <t>Trt</t>
  </si>
  <si>
    <t>Mean C</t>
  </si>
  <si>
    <t>StDev C</t>
  </si>
  <si>
    <t>Mean D</t>
  </si>
  <si>
    <t>StDev D</t>
  </si>
  <si>
    <t>Mean E</t>
  </si>
  <si>
    <t>StDev E</t>
  </si>
  <si>
    <t>Mean F</t>
  </si>
  <si>
    <t>StDev F</t>
  </si>
  <si>
    <t>Mean G</t>
  </si>
  <si>
    <t>StDev G</t>
  </si>
  <si>
    <t>Mean H</t>
  </si>
  <si>
    <t>StDev H</t>
  </si>
  <si>
    <t>Treatment</t>
  </si>
  <si>
    <t>Form</t>
  </si>
  <si>
    <t>Rate</t>
  </si>
  <si>
    <t>No.</t>
  </si>
  <si>
    <t>Type</t>
  </si>
  <si>
    <t>Name</t>
  </si>
  <si>
    <t>Conc</t>
  </si>
  <si>
    <t>Unit</t>
  </si>
  <si>
    <t>CHK</t>
  </si>
  <si>
    <t>FUNG</t>
  </si>
  <si>
    <t>APRON</t>
  </si>
  <si>
    <t>%W/W</t>
  </si>
  <si>
    <t>W</t>
  </si>
  <si>
    <t>% w/v</t>
  </si>
  <si>
    <t>HERB</t>
  </si>
  <si>
    <t>AAtrex-WP</t>
  </si>
  <si>
    <t>%AW/W</t>
  </si>
  <si>
    <t>WP</t>
  </si>
  <si>
    <t>Banvel 720</t>
  </si>
  <si>
    <t>LBA/GAL</t>
  </si>
  <si>
    <t>L</t>
  </si>
  <si>
    <t>% v/v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</si>
</sst>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Tahoma"/>
      <charset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5" fillId="0" borderId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0" xfId="0" applyFill="1" applyBorder="1"/>
    <xf numFmtId="0" fontId="0" fillId="0" borderId="0" xfId="0" quotePrefix="1"/>
    <xf numFmtId="49" fontId="0" fillId="0" borderId="18" xfId="0" quotePrefix="1" applyNumberFormat="1" applyBorder="1" applyAlignment="1">
      <alignment vertical="top" wrapText="1"/>
    </xf>
    <xf numFmtId="0" fontId="0" fillId="0" borderId="0" xfId="0" applyFill="1"/>
    <xf numFmtId="0" fontId="15" fillId="0" borderId="0" xfId="0" applyFont="1"/>
    <xf numFmtId="0" fontId="0" fillId="0" borderId="11" xfId="0" quotePrefix="1" applyBorder="1"/>
    <xf numFmtId="0" fontId="0" fillId="0" borderId="0" xfId="0" quotePrefix="1" applyBorder="1"/>
    <xf numFmtId="0" fontId="0" fillId="0" borderId="16" xfId="0" quotePrefix="1" applyBorder="1"/>
    <xf numFmtId="0" fontId="0" fillId="0" borderId="0" xfId="0" quotePrefix="1" applyAlignment="1"/>
    <xf numFmtId="0" fontId="0" fillId="0" borderId="0" xfId="0" quotePrefix="1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A10E4875-F387-4C4F-B741-34E68C6EB3A8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56636-10F6-43AB-8109-9D21C9F52928}">
  <dimension ref="A1:H64"/>
  <sheetViews>
    <sheetView tabSelected="1" workbookViewId="0">
      <pane xSplit="2" topLeftCell="C1" activePane="topRight" state="frozen"/>
      <selection pane="topRight" activeCell="C9" sqref="C9"/>
    </sheetView>
  </sheetViews>
  <sheetFormatPr defaultRowHeight="13.2" x14ac:dyDescent="0.25"/>
  <cols>
    <col min="1" max="1" width="0.5546875" customWidth="1"/>
    <col min="2" max="2" width="13.6640625" customWidth="1"/>
    <col min="3" max="14" width="6.109375" customWidth="1"/>
  </cols>
  <sheetData>
    <row r="1" spans="1:8" ht="9" customHeight="1" thickBot="1" x14ac:dyDescent="0.3">
      <c r="A1" s="6"/>
      <c r="B1" s="6"/>
      <c r="C1" s="6"/>
      <c r="D1" s="6"/>
      <c r="E1" s="6"/>
      <c r="F1" s="6"/>
      <c r="G1" s="6"/>
      <c r="H1" s="6"/>
    </row>
    <row r="2" spans="1:8" x14ac:dyDescent="0.25">
      <c r="A2" s="6" t="s">
        <v>9</v>
      </c>
      <c r="B2" s="2" t="s">
        <v>11</v>
      </c>
      <c r="C2" s="16" t="s">
        <v>248</v>
      </c>
      <c r="D2" s="3"/>
      <c r="E2" s="3"/>
      <c r="F2" s="3"/>
      <c r="G2" s="3"/>
      <c r="H2" s="4"/>
    </row>
    <row r="3" spans="1:8" x14ac:dyDescent="0.25">
      <c r="A3" s="6" t="s">
        <v>10</v>
      </c>
      <c r="B3" s="5" t="s">
        <v>12</v>
      </c>
      <c r="C3" s="17" t="s">
        <v>249</v>
      </c>
      <c r="D3" s="6"/>
      <c r="E3" s="6"/>
      <c r="F3" s="6"/>
      <c r="G3" s="6"/>
      <c r="H3" s="7"/>
    </row>
    <row r="4" spans="1:8" x14ac:dyDescent="0.25">
      <c r="A4" s="6" t="s">
        <v>13</v>
      </c>
      <c r="B4" s="5" t="s">
        <v>14</v>
      </c>
      <c r="C4" s="6"/>
      <c r="D4" s="6"/>
      <c r="E4" s="6"/>
      <c r="F4" s="6"/>
      <c r="G4" s="6"/>
      <c r="H4" s="7"/>
    </row>
    <row r="5" spans="1:8" ht="13.8" thickBot="1" x14ac:dyDescent="0.3">
      <c r="A5" s="6" t="s">
        <v>15</v>
      </c>
      <c r="B5" s="8" t="s">
        <v>16</v>
      </c>
      <c r="C5" s="18" t="s">
        <v>250</v>
      </c>
      <c r="D5" s="9"/>
      <c r="E5" s="9"/>
      <c r="F5" s="9"/>
      <c r="G5" s="9"/>
      <c r="H5" s="10"/>
    </row>
    <row r="6" spans="1:8" x14ac:dyDescent="0.25">
      <c r="A6" s="11" t="s">
        <v>18</v>
      </c>
      <c r="B6" s="11" t="s">
        <v>19</v>
      </c>
      <c r="C6" s="6"/>
      <c r="D6" s="6"/>
      <c r="E6" s="6"/>
      <c r="F6" s="6"/>
      <c r="G6" s="6"/>
      <c r="H6" s="6"/>
    </row>
    <row r="7" spans="1:8" x14ac:dyDescent="0.25">
      <c r="A7" s="11"/>
      <c r="B7" s="11"/>
      <c r="C7" s="6"/>
      <c r="D7" s="6"/>
      <c r="E7" s="6"/>
      <c r="F7" s="6"/>
      <c r="G7" s="6"/>
      <c r="H7" s="6"/>
    </row>
    <row r="8" spans="1:8" x14ac:dyDescent="0.25">
      <c r="A8" t="s">
        <v>8</v>
      </c>
      <c r="B8" t="s">
        <v>20</v>
      </c>
      <c r="C8">
        <v>3</v>
      </c>
      <c r="D8">
        <v>6</v>
      </c>
      <c r="E8">
        <v>7</v>
      </c>
      <c r="F8">
        <v>8</v>
      </c>
      <c r="G8">
        <v>9</v>
      </c>
      <c r="H8">
        <v>16</v>
      </c>
    </row>
    <row r="9" spans="1:8" x14ac:dyDescent="0.25">
      <c r="A9" t="s">
        <v>125</v>
      </c>
      <c r="B9" t="s">
        <v>126</v>
      </c>
      <c r="C9" s="19" t="s">
        <v>88</v>
      </c>
      <c r="D9" s="19" t="s">
        <v>88</v>
      </c>
      <c r="E9" s="12" t="s">
        <v>88</v>
      </c>
      <c r="F9" s="12" t="s">
        <v>88</v>
      </c>
      <c r="G9" s="12" t="s">
        <v>88</v>
      </c>
      <c r="H9" s="12" t="s">
        <v>88</v>
      </c>
    </row>
    <row r="10" spans="1:8" x14ac:dyDescent="0.25">
      <c r="A10" s="15" t="s">
        <v>128</v>
      </c>
      <c r="B10" t="s">
        <v>2</v>
      </c>
      <c r="C10" s="19" t="s">
        <v>88</v>
      </c>
      <c r="D10" s="19" t="s">
        <v>88</v>
      </c>
      <c r="E10" s="12" t="s">
        <v>88</v>
      </c>
      <c r="F10" s="12" t="s">
        <v>88</v>
      </c>
      <c r="G10" s="12" t="s">
        <v>88</v>
      </c>
      <c r="H10" s="12" t="s">
        <v>88</v>
      </c>
    </row>
    <row r="11" spans="1:8" x14ac:dyDescent="0.25">
      <c r="A11" s="15" t="s">
        <v>129</v>
      </c>
      <c r="B11" t="s">
        <v>93</v>
      </c>
      <c r="C11" s="19" t="s">
        <v>88</v>
      </c>
      <c r="D11" s="19" t="s">
        <v>88</v>
      </c>
      <c r="E11" s="12" t="s">
        <v>88</v>
      </c>
      <c r="F11" s="12" t="s">
        <v>88</v>
      </c>
      <c r="G11" s="12" t="s">
        <v>88</v>
      </c>
      <c r="H11" s="12" t="s">
        <v>88</v>
      </c>
    </row>
    <row r="12" spans="1:8" x14ac:dyDescent="0.25">
      <c r="A12" s="15" t="s">
        <v>130</v>
      </c>
      <c r="B12" t="s">
        <v>3</v>
      </c>
      <c r="C12" s="19" t="s">
        <v>88</v>
      </c>
      <c r="D12" s="19" t="s">
        <v>88</v>
      </c>
      <c r="E12" s="12" t="s">
        <v>88</v>
      </c>
      <c r="F12" s="12" t="s">
        <v>88</v>
      </c>
      <c r="G12" s="12" t="s">
        <v>88</v>
      </c>
      <c r="H12" s="12" t="s">
        <v>88</v>
      </c>
    </row>
    <row r="13" spans="1:8" x14ac:dyDescent="0.25">
      <c r="A13" s="15" t="s">
        <v>131</v>
      </c>
      <c r="B13" t="s">
        <v>94</v>
      </c>
      <c r="C13" s="19" t="s">
        <v>88</v>
      </c>
      <c r="D13" s="19" t="s">
        <v>88</v>
      </c>
      <c r="E13" s="12" t="s">
        <v>88</v>
      </c>
      <c r="F13" s="12" t="s">
        <v>88</v>
      </c>
      <c r="G13" s="12" t="s">
        <v>88</v>
      </c>
      <c r="H13" s="12" t="s">
        <v>88</v>
      </c>
    </row>
    <row r="14" spans="1:8" x14ac:dyDescent="0.25">
      <c r="A14" s="15" t="s">
        <v>132</v>
      </c>
      <c r="B14" t="s">
        <v>95</v>
      </c>
      <c r="C14" s="19" t="s">
        <v>88</v>
      </c>
      <c r="D14" s="19" t="s">
        <v>88</v>
      </c>
      <c r="E14" s="12" t="s">
        <v>88</v>
      </c>
      <c r="F14" s="12" t="s">
        <v>88</v>
      </c>
      <c r="G14" s="12" t="s">
        <v>88</v>
      </c>
      <c r="H14" s="12" t="s">
        <v>88</v>
      </c>
    </row>
    <row r="15" spans="1:8" x14ac:dyDescent="0.25">
      <c r="A15" s="15" t="s">
        <v>133</v>
      </c>
      <c r="B15" t="s">
        <v>96</v>
      </c>
      <c r="C15" s="19" t="s">
        <v>88</v>
      </c>
      <c r="D15" s="19" t="s">
        <v>88</v>
      </c>
      <c r="E15" s="12" t="s">
        <v>88</v>
      </c>
      <c r="F15" s="12" t="s">
        <v>88</v>
      </c>
      <c r="G15" s="12" t="s">
        <v>88</v>
      </c>
      <c r="H15" s="12" t="s">
        <v>88</v>
      </c>
    </row>
    <row r="16" spans="1:8" x14ac:dyDescent="0.25">
      <c r="A16" s="15" t="s">
        <v>165</v>
      </c>
      <c r="B16" t="s">
        <v>6</v>
      </c>
      <c r="C16" s="19" t="s">
        <v>251</v>
      </c>
      <c r="D16" s="19" t="s">
        <v>252</v>
      </c>
      <c r="E16" s="12" t="s">
        <v>253</v>
      </c>
      <c r="F16" s="12" t="s">
        <v>254</v>
      </c>
      <c r="G16" s="12" t="s">
        <v>88</v>
      </c>
      <c r="H16" s="12" t="s">
        <v>251</v>
      </c>
    </row>
    <row r="17" spans="1:8" x14ac:dyDescent="0.25">
      <c r="A17" s="15" t="s">
        <v>167</v>
      </c>
      <c r="B17" t="s">
        <v>141</v>
      </c>
      <c r="C17" s="19" t="s">
        <v>88</v>
      </c>
      <c r="D17" s="19" t="s">
        <v>88</v>
      </c>
      <c r="E17" s="12" t="s">
        <v>88</v>
      </c>
      <c r="F17" s="12" t="s">
        <v>88</v>
      </c>
      <c r="G17" s="12" t="s">
        <v>88</v>
      </c>
      <c r="H17" s="12" t="s">
        <v>88</v>
      </c>
    </row>
    <row r="18" spans="1:8" x14ac:dyDescent="0.25">
      <c r="A18" s="15" t="s">
        <v>168</v>
      </c>
      <c r="B18" t="s">
        <v>166</v>
      </c>
      <c r="C18" s="19" t="s">
        <v>255</v>
      </c>
      <c r="D18" s="19" t="s">
        <v>256</v>
      </c>
      <c r="E18" s="12" t="s">
        <v>257</v>
      </c>
      <c r="F18" s="12" t="s">
        <v>255</v>
      </c>
      <c r="G18" s="12" t="s">
        <v>88</v>
      </c>
      <c r="H18" s="12" t="s">
        <v>255</v>
      </c>
    </row>
    <row r="19" spans="1:8" x14ac:dyDescent="0.25">
      <c r="A19" s="15" t="s">
        <v>169</v>
      </c>
      <c r="B19" t="s">
        <v>89</v>
      </c>
      <c r="C19" s="19" t="s">
        <v>258</v>
      </c>
      <c r="D19" s="19" t="s">
        <v>258</v>
      </c>
      <c r="E19" s="12" t="s">
        <v>259</v>
      </c>
      <c r="F19" s="12" t="s">
        <v>258</v>
      </c>
      <c r="G19" s="12" t="s">
        <v>88</v>
      </c>
      <c r="H19" s="12" t="s">
        <v>258</v>
      </c>
    </row>
    <row r="20" spans="1:8" x14ac:dyDescent="0.25">
      <c r="A20" s="15" t="s">
        <v>170</v>
      </c>
      <c r="B20" t="s">
        <v>127</v>
      </c>
      <c r="C20" s="19" t="s">
        <v>88</v>
      </c>
      <c r="D20" s="19" t="s">
        <v>88</v>
      </c>
      <c r="E20" s="12" t="s">
        <v>88</v>
      </c>
      <c r="F20" s="12" t="s">
        <v>88</v>
      </c>
      <c r="G20" s="12" t="s">
        <v>88</v>
      </c>
      <c r="H20" s="12" t="s">
        <v>88</v>
      </c>
    </row>
    <row r="21" spans="1:8" x14ac:dyDescent="0.25">
      <c r="A21" s="15" t="s">
        <v>171</v>
      </c>
      <c r="B21" t="s">
        <v>4</v>
      </c>
      <c r="C21" s="19" t="s">
        <v>260</v>
      </c>
      <c r="D21" s="19" t="s">
        <v>261</v>
      </c>
      <c r="E21" s="12" t="s">
        <v>262</v>
      </c>
      <c r="F21" s="12" t="s">
        <v>260</v>
      </c>
      <c r="G21" s="12" t="s">
        <v>88</v>
      </c>
      <c r="H21" s="12" t="s">
        <v>260</v>
      </c>
    </row>
    <row r="22" spans="1:8" x14ac:dyDescent="0.25">
      <c r="A22" s="15" t="s">
        <v>172</v>
      </c>
      <c r="B22" t="s">
        <v>5</v>
      </c>
      <c r="C22" s="19" t="s">
        <v>263</v>
      </c>
      <c r="D22" s="19" t="s">
        <v>263</v>
      </c>
      <c r="E22" s="12" t="s">
        <v>263</v>
      </c>
      <c r="F22" s="12" t="s">
        <v>263</v>
      </c>
      <c r="G22" s="12" t="s">
        <v>88</v>
      </c>
      <c r="H22" s="12" t="s">
        <v>263</v>
      </c>
    </row>
    <row r="23" spans="1:8" x14ac:dyDescent="0.25">
      <c r="A23" s="15" t="s">
        <v>173</v>
      </c>
      <c r="B23" t="s">
        <v>97</v>
      </c>
      <c r="C23" s="1">
        <v>1</v>
      </c>
      <c r="D23" s="1">
        <v>1</v>
      </c>
      <c r="F23">
        <v>1</v>
      </c>
      <c r="H23">
        <v>1</v>
      </c>
    </row>
    <row r="24" spans="1:8" x14ac:dyDescent="0.25">
      <c r="A24" s="15" t="s">
        <v>174</v>
      </c>
      <c r="B24" t="s">
        <v>98</v>
      </c>
      <c r="C24" s="19" t="s">
        <v>264</v>
      </c>
      <c r="D24" s="19" t="s">
        <v>264</v>
      </c>
      <c r="E24" s="12" t="s">
        <v>264</v>
      </c>
      <c r="F24" s="12" t="s">
        <v>264</v>
      </c>
      <c r="G24" s="12" t="s">
        <v>88</v>
      </c>
      <c r="H24" s="12" t="s">
        <v>264</v>
      </c>
    </row>
    <row r="25" spans="1:8" x14ac:dyDescent="0.25">
      <c r="A25" s="15" t="s">
        <v>175</v>
      </c>
      <c r="B25" t="s">
        <v>99</v>
      </c>
      <c r="C25" s="1">
        <v>1</v>
      </c>
      <c r="D25" s="1">
        <v>1</v>
      </c>
      <c r="E25">
        <v>1</v>
      </c>
      <c r="F25">
        <v>1</v>
      </c>
      <c r="H25">
        <v>1</v>
      </c>
    </row>
    <row r="26" spans="1:8" x14ac:dyDescent="0.25">
      <c r="A26" s="15" t="s">
        <v>176</v>
      </c>
      <c r="B26" t="s">
        <v>100</v>
      </c>
      <c r="C26" s="12" t="s">
        <v>264</v>
      </c>
      <c r="D26" s="12" t="s">
        <v>264</v>
      </c>
      <c r="E26" s="12" t="s">
        <v>264</v>
      </c>
      <c r="F26" s="12" t="s">
        <v>264</v>
      </c>
      <c r="G26" s="12" t="s">
        <v>88</v>
      </c>
      <c r="H26" s="12" t="s">
        <v>264</v>
      </c>
    </row>
    <row r="27" spans="1:8" x14ac:dyDescent="0.25">
      <c r="A27" s="15" t="s">
        <v>177</v>
      </c>
      <c r="B27" t="s">
        <v>117</v>
      </c>
      <c r="C27">
        <v>1</v>
      </c>
      <c r="D27">
        <v>1</v>
      </c>
      <c r="E27">
        <v>1</v>
      </c>
      <c r="F27">
        <v>1</v>
      </c>
      <c r="H27">
        <v>1</v>
      </c>
    </row>
    <row r="28" spans="1:8" x14ac:dyDescent="0.25">
      <c r="A28" s="15" t="s">
        <v>178</v>
      </c>
      <c r="B28" t="s">
        <v>100</v>
      </c>
      <c r="C28" s="12" t="s">
        <v>264</v>
      </c>
      <c r="D28" s="12" t="s">
        <v>264</v>
      </c>
      <c r="E28" s="12" t="s">
        <v>264</v>
      </c>
      <c r="F28" s="12" t="s">
        <v>264</v>
      </c>
      <c r="G28" s="12" t="s">
        <v>88</v>
      </c>
      <c r="H28" s="12" t="s">
        <v>264</v>
      </c>
    </row>
    <row r="29" spans="1:8" x14ac:dyDescent="0.25">
      <c r="A29" s="15" t="s">
        <v>179</v>
      </c>
      <c r="B29" t="s">
        <v>101</v>
      </c>
      <c r="C29" s="12" t="s">
        <v>88</v>
      </c>
      <c r="D29" s="12" t="s">
        <v>88</v>
      </c>
      <c r="E29" s="12" t="s">
        <v>88</v>
      </c>
      <c r="F29" s="12" t="s">
        <v>88</v>
      </c>
      <c r="G29" s="12" t="s">
        <v>88</v>
      </c>
      <c r="H29" s="12" t="s">
        <v>88</v>
      </c>
    </row>
    <row r="30" spans="1:8" x14ac:dyDescent="0.25">
      <c r="A30" s="15" t="s">
        <v>180</v>
      </c>
      <c r="B30" s="15" t="s">
        <v>118</v>
      </c>
      <c r="C30" s="12" t="s">
        <v>88</v>
      </c>
      <c r="D30" s="12" t="s">
        <v>88</v>
      </c>
      <c r="E30" s="12" t="s">
        <v>88</v>
      </c>
      <c r="F30" s="12" t="s">
        <v>88</v>
      </c>
      <c r="G30" s="12" t="s">
        <v>88</v>
      </c>
      <c r="H30" s="12" t="s">
        <v>88</v>
      </c>
    </row>
    <row r="31" spans="1:8" x14ac:dyDescent="0.25">
      <c r="A31" s="15" t="s">
        <v>181</v>
      </c>
      <c r="B31" s="15" t="s">
        <v>119</v>
      </c>
      <c r="C31" s="12" t="s">
        <v>88</v>
      </c>
      <c r="D31" s="12" t="s">
        <v>88</v>
      </c>
      <c r="E31" s="12" t="s">
        <v>88</v>
      </c>
      <c r="F31" s="12" t="s">
        <v>88</v>
      </c>
      <c r="G31" s="12" t="s">
        <v>88</v>
      </c>
      <c r="H31" s="12" t="s">
        <v>88</v>
      </c>
    </row>
    <row r="32" spans="1:8" x14ac:dyDescent="0.25">
      <c r="A32" s="15" t="s">
        <v>182</v>
      </c>
      <c r="B32" s="15" t="s">
        <v>120</v>
      </c>
      <c r="C32" s="12" t="s">
        <v>88</v>
      </c>
      <c r="D32" s="12" t="s">
        <v>88</v>
      </c>
      <c r="E32" s="12" t="s">
        <v>88</v>
      </c>
      <c r="F32" s="12" t="s">
        <v>88</v>
      </c>
      <c r="G32" s="12" t="s">
        <v>88</v>
      </c>
      <c r="H32" s="12" t="s">
        <v>88</v>
      </c>
    </row>
    <row r="33" spans="1:8" x14ac:dyDescent="0.25">
      <c r="A33" s="15" t="s">
        <v>183</v>
      </c>
      <c r="B33" t="s">
        <v>102</v>
      </c>
    </row>
    <row r="34" spans="1:8" x14ac:dyDescent="0.25">
      <c r="A34" s="15" t="s">
        <v>184</v>
      </c>
      <c r="B34" t="s">
        <v>90</v>
      </c>
      <c r="C34" s="12" t="s">
        <v>88</v>
      </c>
      <c r="D34" s="12" t="s">
        <v>88</v>
      </c>
      <c r="E34" s="12" t="s">
        <v>88</v>
      </c>
      <c r="F34" s="12" t="s">
        <v>88</v>
      </c>
      <c r="G34" s="12" t="s">
        <v>88</v>
      </c>
      <c r="H34" s="12" t="s">
        <v>88</v>
      </c>
    </row>
    <row r="35" spans="1:8" x14ac:dyDescent="0.25">
      <c r="A35" s="15" t="s">
        <v>185</v>
      </c>
      <c r="B35" t="s">
        <v>121</v>
      </c>
      <c r="C35" s="12" t="s">
        <v>88</v>
      </c>
      <c r="D35" s="12" t="s">
        <v>88</v>
      </c>
      <c r="E35" s="12" t="s">
        <v>88</v>
      </c>
      <c r="F35" s="12" t="s">
        <v>88</v>
      </c>
      <c r="G35" s="12" t="s">
        <v>88</v>
      </c>
      <c r="H35" s="12" t="s">
        <v>88</v>
      </c>
    </row>
    <row r="36" spans="1:8" x14ac:dyDescent="0.25">
      <c r="A36" s="15" t="s">
        <v>186</v>
      </c>
      <c r="B36" t="s">
        <v>122</v>
      </c>
      <c r="C36" s="12" t="s">
        <v>88</v>
      </c>
      <c r="D36" s="12" t="s">
        <v>88</v>
      </c>
      <c r="E36" s="12" t="s">
        <v>88</v>
      </c>
      <c r="F36" s="12" t="s">
        <v>88</v>
      </c>
      <c r="G36" s="12" t="s">
        <v>88</v>
      </c>
      <c r="H36" s="12" t="s">
        <v>88</v>
      </c>
    </row>
    <row r="37" spans="1:8" x14ac:dyDescent="0.25">
      <c r="A37" s="15" t="s">
        <v>187</v>
      </c>
      <c r="B37" s="15" t="s">
        <v>123</v>
      </c>
      <c r="C37" s="12" t="s">
        <v>88</v>
      </c>
      <c r="D37" s="12" t="s">
        <v>88</v>
      </c>
      <c r="E37" s="12" t="s">
        <v>88</v>
      </c>
      <c r="F37" s="12" t="s">
        <v>88</v>
      </c>
      <c r="G37" s="12" t="s">
        <v>88</v>
      </c>
      <c r="H37" s="12" t="s">
        <v>88</v>
      </c>
    </row>
    <row r="38" spans="1:8" x14ac:dyDescent="0.25">
      <c r="A38" s="15" t="s">
        <v>188</v>
      </c>
      <c r="B38" t="s">
        <v>7</v>
      </c>
    </row>
    <row r="39" spans="1:8" x14ac:dyDescent="0.25">
      <c r="A39" s="15" t="s">
        <v>189</v>
      </c>
      <c r="B39" t="s">
        <v>90</v>
      </c>
      <c r="C39" s="12" t="s">
        <v>88</v>
      </c>
      <c r="D39" s="12" t="s">
        <v>88</v>
      </c>
      <c r="E39" s="12" t="s">
        <v>88</v>
      </c>
      <c r="F39" s="12" t="s">
        <v>88</v>
      </c>
      <c r="G39" s="12" t="s">
        <v>88</v>
      </c>
      <c r="H39" s="12" t="s">
        <v>88</v>
      </c>
    </row>
    <row r="40" spans="1:8" x14ac:dyDescent="0.25">
      <c r="A40" s="15" t="s">
        <v>190</v>
      </c>
      <c r="B40" t="s">
        <v>91</v>
      </c>
      <c r="C40" s="12" t="s">
        <v>88</v>
      </c>
      <c r="D40" s="12" t="s">
        <v>88</v>
      </c>
      <c r="E40" s="12" t="s">
        <v>88</v>
      </c>
      <c r="F40" s="12" t="s">
        <v>88</v>
      </c>
      <c r="G40" s="12" t="s">
        <v>88</v>
      </c>
      <c r="H40" s="12" t="s">
        <v>88</v>
      </c>
    </row>
    <row r="41" spans="1:8" x14ac:dyDescent="0.25">
      <c r="A41" s="15" t="s">
        <v>191</v>
      </c>
      <c r="B41" t="s">
        <v>142</v>
      </c>
      <c r="C41" s="12" t="s">
        <v>88</v>
      </c>
      <c r="D41" s="12" t="s">
        <v>88</v>
      </c>
      <c r="E41" s="12" t="s">
        <v>88</v>
      </c>
      <c r="F41" s="12" t="s">
        <v>88</v>
      </c>
      <c r="G41" s="12" t="s">
        <v>88</v>
      </c>
      <c r="H41" s="12" t="s">
        <v>88</v>
      </c>
    </row>
    <row r="42" spans="1:8" x14ac:dyDescent="0.25">
      <c r="A42" s="15" t="s">
        <v>192</v>
      </c>
      <c r="B42" t="s">
        <v>113</v>
      </c>
      <c r="C42" s="12" t="s">
        <v>265</v>
      </c>
      <c r="D42" s="12" t="s">
        <v>266</v>
      </c>
      <c r="E42" s="12" t="s">
        <v>267</v>
      </c>
      <c r="F42" s="12" t="s">
        <v>268</v>
      </c>
      <c r="G42" s="12" t="s">
        <v>269</v>
      </c>
      <c r="H42" s="12" t="s">
        <v>270</v>
      </c>
    </row>
    <row r="43" spans="1:8" x14ac:dyDescent="0.25">
      <c r="A43" s="15" t="s">
        <v>193</v>
      </c>
      <c r="B43" t="s">
        <v>0</v>
      </c>
      <c r="C43" s="12" t="s">
        <v>271</v>
      </c>
      <c r="D43" s="12" t="s">
        <v>272</v>
      </c>
      <c r="E43" s="12" t="s">
        <v>273</v>
      </c>
      <c r="F43" s="12" t="s">
        <v>274</v>
      </c>
      <c r="G43" s="12" t="s">
        <v>88</v>
      </c>
      <c r="H43" s="12" t="s">
        <v>271</v>
      </c>
    </row>
    <row r="44" spans="1:8" x14ac:dyDescent="0.25">
      <c r="A44" s="15" t="s">
        <v>194</v>
      </c>
      <c r="B44" t="s">
        <v>143</v>
      </c>
      <c r="C44" s="12" t="s">
        <v>275</v>
      </c>
      <c r="D44" s="12" t="s">
        <v>276</v>
      </c>
      <c r="E44" s="12" t="s">
        <v>277</v>
      </c>
      <c r="F44" s="12" t="s">
        <v>278</v>
      </c>
      <c r="G44" s="12" t="s">
        <v>88</v>
      </c>
      <c r="H44" s="12" t="s">
        <v>275</v>
      </c>
    </row>
    <row r="45" spans="1:8" x14ac:dyDescent="0.25">
      <c r="A45" s="15" t="s">
        <v>195</v>
      </c>
      <c r="B45" t="s">
        <v>124</v>
      </c>
      <c r="C45" s="12" t="s">
        <v>88</v>
      </c>
      <c r="D45" s="12" t="s">
        <v>88</v>
      </c>
      <c r="E45" s="12" t="s">
        <v>88</v>
      </c>
      <c r="F45" s="12" t="s">
        <v>88</v>
      </c>
      <c r="G45" s="12" t="s">
        <v>88</v>
      </c>
      <c r="H45" s="12" t="s">
        <v>88</v>
      </c>
    </row>
    <row r="46" spans="1:8" x14ac:dyDescent="0.25">
      <c r="A46" s="15" t="s">
        <v>196</v>
      </c>
      <c r="B46" t="s">
        <v>92</v>
      </c>
      <c r="C46" s="12" t="s">
        <v>88</v>
      </c>
      <c r="D46" s="12" t="s">
        <v>88</v>
      </c>
      <c r="E46" s="12" t="s">
        <v>88</v>
      </c>
      <c r="F46" s="12" t="s">
        <v>88</v>
      </c>
      <c r="G46" s="12" t="s">
        <v>88</v>
      </c>
      <c r="H46" s="12" t="s">
        <v>88</v>
      </c>
    </row>
    <row r="47" spans="1:8" x14ac:dyDescent="0.25">
      <c r="A47" s="15" t="s">
        <v>197</v>
      </c>
      <c r="B47" s="12" t="s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</row>
    <row r="48" spans="1:8" x14ac:dyDescent="0.25">
      <c r="A48" s="14" t="s">
        <v>198</v>
      </c>
      <c r="B48" s="14" t="s">
        <v>17</v>
      </c>
    </row>
    <row r="49" spans="1:2" x14ac:dyDescent="0.25">
      <c r="A49">
        <v>1</v>
      </c>
      <c r="B49">
        <v>101</v>
      </c>
    </row>
    <row r="50" spans="1:2" x14ac:dyDescent="0.25">
      <c r="A50">
        <v>2</v>
      </c>
      <c r="B50">
        <v>102</v>
      </c>
    </row>
    <row r="51" spans="1:2" x14ac:dyDescent="0.25">
      <c r="A51">
        <v>3</v>
      </c>
      <c r="B51">
        <v>103</v>
      </c>
    </row>
    <row r="52" spans="1:2" x14ac:dyDescent="0.25">
      <c r="A52">
        <v>4</v>
      </c>
      <c r="B52">
        <v>104</v>
      </c>
    </row>
    <row r="53" spans="1:2" x14ac:dyDescent="0.25">
      <c r="A53">
        <v>2</v>
      </c>
      <c r="B53">
        <v>201</v>
      </c>
    </row>
    <row r="54" spans="1:2" x14ac:dyDescent="0.25">
      <c r="A54">
        <v>1</v>
      </c>
      <c r="B54">
        <v>202</v>
      </c>
    </row>
    <row r="55" spans="1:2" x14ac:dyDescent="0.25">
      <c r="A55">
        <v>4</v>
      </c>
      <c r="B55">
        <v>203</v>
      </c>
    </row>
    <row r="56" spans="1:2" x14ac:dyDescent="0.25">
      <c r="A56">
        <v>3</v>
      </c>
      <c r="B56">
        <v>204</v>
      </c>
    </row>
    <row r="57" spans="1:2" x14ac:dyDescent="0.25">
      <c r="A57">
        <v>1</v>
      </c>
      <c r="B57">
        <v>301</v>
      </c>
    </row>
    <row r="58" spans="1:2" x14ac:dyDescent="0.25">
      <c r="A58">
        <v>2</v>
      </c>
      <c r="B58">
        <v>302</v>
      </c>
    </row>
    <row r="59" spans="1:2" x14ac:dyDescent="0.25">
      <c r="A59">
        <v>3</v>
      </c>
      <c r="B59">
        <v>303</v>
      </c>
    </row>
    <row r="60" spans="1:2" x14ac:dyDescent="0.25">
      <c r="A60">
        <v>4</v>
      </c>
      <c r="B60">
        <v>304</v>
      </c>
    </row>
    <row r="61" spans="1:2" x14ac:dyDescent="0.25">
      <c r="A61">
        <v>3</v>
      </c>
      <c r="B61">
        <v>401</v>
      </c>
    </row>
    <row r="62" spans="1:2" x14ac:dyDescent="0.25">
      <c r="A62">
        <v>1</v>
      </c>
      <c r="B62">
        <v>402</v>
      </c>
    </row>
    <row r="63" spans="1:2" x14ac:dyDescent="0.25">
      <c r="A63">
        <v>4</v>
      </c>
      <c r="B63">
        <v>403</v>
      </c>
    </row>
    <row r="64" spans="1:2" x14ac:dyDescent="0.25">
      <c r="A64">
        <v>2</v>
      </c>
      <c r="B64">
        <v>404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84BF-B5F7-4B49-8773-C33702344404}">
  <dimension ref="A1:M5"/>
  <sheetViews>
    <sheetView workbookViewId="0">
      <pane ySplit="1" topLeftCell="A2" activePane="bottomLeft" state="frozen"/>
      <selection pane="bottomLeft" activeCell="B2" sqref="B2"/>
    </sheetView>
  </sheetViews>
  <sheetFormatPr defaultRowHeight="13.2" x14ac:dyDescent="0.25"/>
  <sheetData>
    <row r="1" spans="1:13" x14ac:dyDescent="0.25">
      <c r="A1" s="20" t="s">
        <v>279</v>
      </c>
      <c r="B1" s="20" t="s">
        <v>280</v>
      </c>
      <c r="C1" s="20" t="s">
        <v>281</v>
      </c>
      <c r="D1" s="20" t="s">
        <v>282</v>
      </c>
      <c r="E1" s="20" t="s">
        <v>283</v>
      </c>
      <c r="F1" s="20" t="s">
        <v>284</v>
      </c>
      <c r="G1" s="20" t="s">
        <v>285</v>
      </c>
      <c r="H1" s="20" t="s">
        <v>286</v>
      </c>
      <c r="I1" s="20" t="s">
        <v>287</v>
      </c>
      <c r="J1" s="20" t="s">
        <v>288</v>
      </c>
      <c r="K1" s="20" t="s">
        <v>289</v>
      </c>
      <c r="L1" s="20" t="s">
        <v>290</v>
      </c>
      <c r="M1" s="20" t="s">
        <v>291</v>
      </c>
    </row>
    <row r="2" spans="1:13" x14ac:dyDescent="0.25">
      <c r="A2">
        <v>1</v>
      </c>
      <c r="B2" t="e">
        <f>AVERAGE('Plot Data'!C49,'Plot Data'!C54,'Plot Data'!C57,'Plot Data'!C62)</f>
        <v>#DIV/0!</v>
      </c>
      <c r="C2" t="e">
        <f>STDEV('Plot Data'!C49,'Plot Data'!C54,'Plot Data'!C57,'Plot Data'!C62)</f>
        <v>#DIV/0!</v>
      </c>
      <c r="D2" t="e">
        <f>AVERAGE('Plot Data'!D49,'Plot Data'!D54,'Plot Data'!D57,'Plot Data'!D62)</f>
        <v>#DIV/0!</v>
      </c>
      <c r="E2" t="e">
        <f>STDEV('Plot Data'!D49,'Plot Data'!D54,'Plot Data'!D57,'Plot Data'!D62)</f>
        <v>#DIV/0!</v>
      </c>
      <c r="F2" t="e">
        <f>AVERAGE('Plot Data'!E49,'Plot Data'!E54,'Plot Data'!E57,'Plot Data'!E62)</f>
        <v>#DIV/0!</v>
      </c>
      <c r="G2" t="e">
        <f>STDEV('Plot Data'!E49,'Plot Data'!E54,'Plot Data'!E57,'Plot Data'!E62)</f>
        <v>#DIV/0!</v>
      </c>
      <c r="H2" t="e">
        <f>AVERAGE('Plot Data'!F49,'Plot Data'!F54,'Plot Data'!F57,'Plot Data'!F62)</f>
        <v>#DIV/0!</v>
      </c>
      <c r="I2" t="e">
        <f>STDEV('Plot Data'!F49,'Plot Data'!F54,'Plot Data'!F57,'Plot Data'!F62)</f>
        <v>#DIV/0!</v>
      </c>
      <c r="J2" t="e">
        <f>AVERAGE('Plot Data'!G49,'Plot Data'!G54,'Plot Data'!G57,'Plot Data'!G62)</f>
        <v>#DIV/0!</v>
      </c>
      <c r="K2" t="e">
        <f>STDEV('Plot Data'!G49,'Plot Data'!G54,'Plot Data'!G57,'Plot Data'!G62)</f>
        <v>#DIV/0!</v>
      </c>
      <c r="L2" t="e">
        <f>AVERAGE('Plot Data'!H49,'Plot Data'!H54,'Plot Data'!H57,'Plot Data'!H62)</f>
        <v>#DIV/0!</v>
      </c>
      <c r="M2" t="e">
        <f>STDEV('Plot Data'!H49,'Plot Data'!H54,'Plot Data'!H57,'Plot Data'!H62)</f>
        <v>#DIV/0!</v>
      </c>
    </row>
    <row r="3" spans="1:13" x14ac:dyDescent="0.25">
      <c r="A3">
        <v>2</v>
      </c>
      <c r="B3" t="e">
        <f>AVERAGE('Plot Data'!C50,'Plot Data'!C53,'Plot Data'!C58,'Plot Data'!C64)</f>
        <v>#DIV/0!</v>
      </c>
      <c r="C3" t="e">
        <f>STDEV('Plot Data'!C50,'Plot Data'!C53,'Plot Data'!C58,'Plot Data'!C64)</f>
        <v>#DIV/0!</v>
      </c>
      <c r="D3" t="e">
        <f>AVERAGE('Plot Data'!D50,'Plot Data'!D53,'Plot Data'!D58,'Plot Data'!D64)</f>
        <v>#DIV/0!</v>
      </c>
      <c r="E3" t="e">
        <f>STDEV('Plot Data'!D50,'Plot Data'!D53,'Plot Data'!D58,'Plot Data'!D64)</f>
        <v>#DIV/0!</v>
      </c>
      <c r="F3" t="e">
        <f>AVERAGE('Plot Data'!E50,'Plot Data'!E53,'Plot Data'!E58,'Plot Data'!E64)</f>
        <v>#DIV/0!</v>
      </c>
      <c r="G3" t="e">
        <f>STDEV('Plot Data'!E50,'Plot Data'!E53,'Plot Data'!E58,'Plot Data'!E64)</f>
        <v>#DIV/0!</v>
      </c>
      <c r="H3" t="e">
        <f>AVERAGE('Plot Data'!F50,'Plot Data'!F53,'Plot Data'!F58,'Plot Data'!F64)</f>
        <v>#DIV/0!</v>
      </c>
      <c r="I3" t="e">
        <f>STDEV('Plot Data'!F50,'Plot Data'!F53,'Plot Data'!F58,'Plot Data'!F64)</f>
        <v>#DIV/0!</v>
      </c>
      <c r="J3" t="e">
        <f>AVERAGE('Plot Data'!G50,'Plot Data'!G53,'Plot Data'!G58,'Plot Data'!G64)</f>
        <v>#DIV/0!</v>
      </c>
      <c r="K3" t="e">
        <f>STDEV('Plot Data'!G50,'Plot Data'!G53,'Plot Data'!G58,'Plot Data'!G64)</f>
        <v>#DIV/0!</v>
      </c>
      <c r="L3" t="e">
        <f>AVERAGE('Plot Data'!H50,'Plot Data'!H53,'Plot Data'!H58,'Plot Data'!H64)</f>
        <v>#DIV/0!</v>
      </c>
      <c r="M3" t="e">
        <f>STDEV('Plot Data'!H50,'Plot Data'!H53,'Plot Data'!H58,'Plot Data'!H64)</f>
        <v>#DIV/0!</v>
      </c>
    </row>
    <row r="4" spans="1:13" x14ac:dyDescent="0.25">
      <c r="A4">
        <v>3</v>
      </c>
      <c r="B4" t="e">
        <f>AVERAGE('Plot Data'!C51,'Plot Data'!C56,'Plot Data'!C59,'Plot Data'!C61)</f>
        <v>#DIV/0!</v>
      </c>
      <c r="C4" t="e">
        <f>STDEV('Plot Data'!C51,'Plot Data'!C56,'Plot Data'!C59,'Plot Data'!C61)</f>
        <v>#DIV/0!</v>
      </c>
      <c r="D4" t="e">
        <f>AVERAGE('Plot Data'!D51,'Plot Data'!D56,'Plot Data'!D59,'Plot Data'!D61)</f>
        <v>#DIV/0!</v>
      </c>
      <c r="E4" t="e">
        <f>STDEV('Plot Data'!D51,'Plot Data'!D56,'Plot Data'!D59,'Plot Data'!D61)</f>
        <v>#DIV/0!</v>
      </c>
      <c r="F4" t="e">
        <f>AVERAGE('Plot Data'!E51,'Plot Data'!E56,'Plot Data'!E59,'Plot Data'!E61)</f>
        <v>#DIV/0!</v>
      </c>
      <c r="G4" t="e">
        <f>STDEV('Plot Data'!E51,'Plot Data'!E56,'Plot Data'!E59,'Plot Data'!E61)</f>
        <v>#DIV/0!</v>
      </c>
      <c r="H4" t="e">
        <f>AVERAGE('Plot Data'!F51,'Plot Data'!F56,'Plot Data'!F59,'Plot Data'!F61)</f>
        <v>#DIV/0!</v>
      </c>
      <c r="I4" t="e">
        <f>STDEV('Plot Data'!F51,'Plot Data'!F56,'Plot Data'!F59,'Plot Data'!F61)</f>
        <v>#DIV/0!</v>
      </c>
      <c r="J4" t="e">
        <f>AVERAGE('Plot Data'!G51,'Plot Data'!G56,'Plot Data'!G59,'Plot Data'!G61)</f>
        <v>#DIV/0!</v>
      </c>
      <c r="K4" t="e">
        <f>STDEV('Plot Data'!G51,'Plot Data'!G56,'Plot Data'!G59,'Plot Data'!G61)</f>
        <v>#DIV/0!</v>
      </c>
      <c r="L4" t="e">
        <f>AVERAGE('Plot Data'!H51,'Plot Data'!H56,'Plot Data'!H59,'Plot Data'!H61)</f>
        <v>#DIV/0!</v>
      </c>
      <c r="M4" t="e">
        <f>STDEV('Plot Data'!H51,'Plot Data'!H56,'Plot Data'!H59,'Plot Data'!H61)</f>
        <v>#DIV/0!</v>
      </c>
    </row>
    <row r="5" spans="1:13" x14ac:dyDescent="0.25">
      <c r="A5">
        <v>4</v>
      </c>
      <c r="B5" t="e">
        <f>AVERAGE('Plot Data'!C52,'Plot Data'!C55,'Plot Data'!C60,'Plot Data'!C63)</f>
        <v>#DIV/0!</v>
      </c>
      <c r="C5" t="e">
        <f>STDEV('Plot Data'!C52,'Plot Data'!C55,'Plot Data'!C60,'Plot Data'!C63)</f>
        <v>#DIV/0!</v>
      </c>
      <c r="D5" t="e">
        <f>AVERAGE('Plot Data'!D52,'Plot Data'!D55,'Plot Data'!D60,'Plot Data'!D63)</f>
        <v>#DIV/0!</v>
      </c>
      <c r="E5" t="e">
        <f>STDEV('Plot Data'!D52,'Plot Data'!D55,'Plot Data'!D60,'Plot Data'!D63)</f>
        <v>#DIV/0!</v>
      </c>
      <c r="F5" t="e">
        <f>AVERAGE('Plot Data'!E52,'Plot Data'!E55,'Plot Data'!E60,'Plot Data'!E63)</f>
        <v>#DIV/0!</v>
      </c>
      <c r="G5" t="e">
        <f>STDEV('Plot Data'!E52,'Plot Data'!E55,'Plot Data'!E60,'Plot Data'!E63)</f>
        <v>#DIV/0!</v>
      </c>
      <c r="H5" t="e">
        <f>AVERAGE('Plot Data'!F52,'Plot Data'!F55,'Plot Data'!F60,'Plot Data'!F63)</f>
        <v>#DIV/0!</v>
      </c>
      <c r="I5" t="e">
        <f>STDEV('Plot Data'!F52,'Plot Data'!F55,'Plot Data'!F60,'Plot Data'!F63)</f>
        <v>#DIV/0!</v>
      </c>
      <c r="J5" t="e">
        <f>AVERAGE('Plot Data'!G52,'Plot Data'!G55,'Plot Data'!G60,'Plot Data'!G63)</f>
        <v>#DIV/0!</v>
      </c>
      <c r="K5" t="e">
        <f>STDEV('Plot Data'!G52,'Plot Data'!G55,'Plot Data'!G60,'Plot Data'!G63)</f>
        <v>#DIV/0!</v>
      </c>
      <c r="L5" t="e">
        <f>AVERAGE('Plot Data'!H52,'Plot Data'!H55,'Plot Data'!H60,'Plot Data'!H63)</f>
        <v>#DIV/0!</v>
      </c>
      <c r="M5" t="e">
        <f>STDEV('Plot Data'!H52,'Plot Data'!H55,'Plot Data'!H60,'Plot Data'!H63)</f>
        <v>#DIV/0!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ACD01-FAC5-4685-98C6-1F2CF9A161E2}">
  <dimension ref="A1:H57"/>
  <sheetViews>
    <sheetView workbookViewId="0">
      <pane xSplit="2" topLeftCell="C1" activePane="topRight" state="frozen"/>
      <selection pane="topRight" activeCell="C2" sqref="C2"/>
    </sheetView>
  </sheetViews>
  <sheetFormatPr defaultRowHeight="13.2" x14ac:dyDescent="0.25"/>
  <cols>
    <col min="1" max="1" width="0.5546875" customWidth="1"/>
    <col min="2" max="2" width="13.6640625" customWidth="1"/>
    <col min="3" max="14" width="6.109375" customWidth="1"/>
  </cols>
  <sheetData>
    <row r="1" spans="1:8" x14ac:dyDescent="0.25">
      <c r="A1" t="s">
        <v>8</v>
      </c>
      <c r="B1" t="s">
        <v>20</v>
      </c>
      <c r="C1">
        <v>3</v>
      </c>
      <c r="D1">
        <v>6</v>
      </c>
      <c r="E1">
        <v>7</v>
      </c>
      <c r="F1">
        <v>8</v>
      </c>
      <c r="G1">
        <v>9</v>
      </c>
      <c r="H1">
        <v>16</v>
      </c>
    </row>
    <row r="2" spans="1:8" x14ac:dyDescent="0.25">
      <c r="A2" t="s">
        <v>125</v>
      </c>
      <c r="B2" t="s">
        <v>126</v>
      </c>
      <c r="C2" s="19" t="s">
        <v>88</v>
      </c>
      <c r="D2" s="19" t="s">
        <v>88</v>
      </c>
      <c r="E2" s="12" t="s">
        <v>88</v>
      </c>
      <c r="F2" s="12" t="s">
        <v>88</v>
      </c>
      <c r="G2" s="12" t="s">
        <v>88</v>
      </c>
      <c r="H2" s="12" t="s">
        <v>88</v>
      </c>
    </row>
    <row r="3" spans="1:8" x14ac:dyDescent="0.25">
      <c r="A3" s="15" t="s">
        <v>128</v>
      </c>
      <c r="B3" t="s">
        <v>2</v>
      </c>
      <c r="C3" s="19" t="s">
        <v>88</v>
      </c>
      <c r="D3" s="19" t="s">
        <v>88</v>
      </c>
      <c r="E3" s="12" t="s">
        <v>88</v>
      </c>
      <c r="F3" s="12" t="s">
        <v>88</v>
      </c>
      <c r="G3" s="12" t="s">
        <v>88</v>
      </c>
      <c r="H3" s="12" t="s">
        <v>88</v>
      </c>
    </row>
    <row r="4" spans="1:8" x14ac:dyDescent="0.25">
      <c r="A4" s="15" t="s">
        <v>129</v>
      </c>
      <c r="B4" t="s">
        <v>93</v>
      </c>
      <c r="C4" s="19" t="s">
        <v>88</v>
      </c>
      <c r="D4" s="19" t="s">
        <v>88</v>
      </c>
      <c r="E4" s="12" t="s">
        <v>88</v>
      </c>
      <c r="F4" s="12" t="s">
        <v>88</v>
      </c>
      <c r="G4" s="12" t="s">
        <v>88</v>
      </c>
      <c r="H4" s="12" t="s">
        <v>88</v>
      </c>
    </row>
    <row r="5" spans="1:8" x14ac:dyDescent="0.25">
      <c r="A5" s="15" t="s">
        <v>130</v>
      </c>
      <c r="B5" t="s">
        <v>3</v>
      </c>
      <c r="C5" s="19" t="s">
        <v>88</v>
      </c>
      <c r="D5" s="19" t="s">
        <v>88</v>
      </c>
      <c r="E5" s="12" t="s">
        <v>88</v>
      </c>
      <c r="F5" s="12" t="s">
        <v>88</v>
      </c>
      <c r="G5" s="12" t="s">
        <v>88</v>
      </c>
      <c r="H5" s="12" t="s">
        <v>88</v>
      </c>
    </row>
    <row r="6" spans="1:8" x14ac:dyDescent="0.25">
      <c r="A6" s="15" t="s">
        <v>131</v>
      </c>
      <c r="B6" t="s">
        <v>94</v>
      </c>
      <c r="C6" s="19" t="s">
        <v>88</v>
      </c>
      <c r="D6" s="19" t="s">
        <v>88</v>
      </c>
      <c r="E6" s="12" t="s">
        <v>88</v>
      </c>
      <c r="F6" s="12" t="s">
        <v>88</v>
      </c>
      <c r="G6" s="12" t="s">
        <v>88</v>
      </c>
      <c r="H6" s="12" t="s">
        <v>88</v>
      </c>
    </row>
    <row r="7" spans="1:8" x14ac:dyDescent="0.25">
      <c r="A7" s="15" t="s">
        <v>132</v>
      </c>
      <c r="B7" t="s">
        <v>95</v>
      </c>
      <c r="C7" s="19" t="s">
        <v>88</v>
      </c>
      <c r="D7" s="19" t="s">
        <v>88</v>
      </c>
      <c r="E7" s="12" t="s">
        <v>88</v>
      </c>
      <c r="F7" s="12" t="s">
        <v>88</v>
      </c>
      <c r="G7" s="12" t="s">
        <v>88</v>
      </c>
      <c r="H7" s="12" t="s">
        <v>88</v>
      </c>
    </row>
    <row r="8" spans="1:8" x14ac:dyDescent="0.25">
      <c r="A8" s="15" t="s">
        <v>133</v>
      </c>
      <c r="B8" t="s">
        <v>96</v>
      </c>
      <c r="C8" s="19" t="s">
        <v>88</v>
      </c>
      <c r="D8" s="19" t="s">
        <v>88</v>
      </c>
      <c r="E8" s="12" t="s">
        <v>88</v>
      </c>
      <c r="F8" s="12" t="s">
        <v>88</v>
      </c>
      <c r="G8" s="12" t="s">
        <v>88</v>
      </c>
      <c r="H8" s="12" t="s">
        <v>88</v>
      </c>
    </row>
    <row r="9" spans="1:8" x14ac:dyDescent="0.25">
      <c r="A9" s="15" t="s">
        <v>165</v>
      </c>
      <c r="B9" t="s">
        <v>6</v>
      </c>
      <c r="C9" s="19" t="s">
        <v>251</v>
      </c>
      <c r="D9" s="19" t="s">
        <v>252</v>
      </c>
      <c r="E9" s="12" t="s">
        <v>253</v>
      </c>
      <c r="F9" s="12" t="s">
        <v>254</v>
      </c>
      <c r="G9" s="12" t="s">
        <v>88</v>
      </c>
      <c r="H9" s="12" t="s">
        <v>251</v>
      </c>
    </row>
    <row r="10" spans="1:8" x14ac:dyDescent="0.25">
      <c r="A10" s="15" t="s">
        <v>167</v>
      </c>
      <c r="B10" t="s">
        <v>141</v>
      </c>
      <c r="C10" s="19" t="s">
        <v>88</v>
      </c>
      <c r="D10" s="19" t="s">
        <v>88</v>
      </c>
      <c r="E10" s="12" t="s">
        <v>88</v>
      </c>
      <c r="F10" s="12" t="s">
        <v>88</v>
      </c>
      <c r="G10" s="12" t="s">
        <v>88</v>
      </c>
      <c r="H10" s="12" t="s">
        <v>88</v>
      </c>
    </row>
    <row r="11" spans="1:8" x14ac:dyDescent="0.25">
      <c r="A11" s="15" t="s">
        <v>168</v>
      </c>
      <c r="B11" t="s">
        <v>166</v>
      </c>
      <c r="C11" s="19" t="s">
        <v>255</v>
      </c>
      <c r="D11" s="19" t="s">
        <v>256</v>
      </c>
      <c r="E11" s="12" t="s">
        <v>257</v>
      </c>
      <c r="F11" s="12" t="s">
        <v>255</v>
      </c>
      <c r="G11" s="12" t="s">
        <v>88</v>
      </c>
      <c r="H11" s="12" t="s">
        <v>255</v>
      </c>
    </row>
    <row r="12" spans="1:8" x14ac:dyDescent="0.25">
      <c r="A12" s="15" t="s">
        <v>169</v>
      </c>
      <c r="B12" t="s">
        <v>89</v>
      </c>
      <c r="C12" s="19" t="s">
        <v>258</v>
      </c>
      <c r="D12" s="19" t="s">
        <v>258</v>
      </c>
      <c r="E12" s="12" t="s">
        <v>259</v>
      </c>
      <c r="F12" s="12" t="s">
        <v>258</v>
      </c>
      <c r="G12" s="12" t="s">
        <v>88</v>
      </c>
      <c r="H12" s="12" t="s">
        <v>258</v>
      </c>
    </row>
    <row r="13" spans="1:8" x14ac:dyDescent="0.25">
      <c r="A13" s="15" t="s">
        <v>170</v>
      </c>
      <c r="B13" t="s">
        <v>127</v>
      </c>
      <c r="C13" s="19" t="s">
        <v>88</v>
      </c>
      <c r="D13" s="19" t="s">
        <v>88</v>
      </c>
      <c r="E13" s="12" t="s">
        <v>88</v>
      </c>
      <c r="F13" s="12" t="s">
        <v>88</v>
      </c>
      <c r="G13" s="12" t="s">
        <v>88</v>
      </c>
      <c r="H13" s="12" t="s">
        <v>88</v>
      </c>
    </row>
    <row r="14" spans="1:8" x14ac:dyDescent="0.25">
      <c r="A14" s="15" t="s">
        <v>171</v>
      </c>
      <c r="B14" t="s">
        <v>4</v>
      </c>
      <c r="C14" s="19" t="s">
        <v>260</v>
      </c>
      <c r="D14" s="19" t="s">
        <v>261</v>
      </c>
      <c r="E14" s="12" t="s">
        <v>262</v>
      </c>
      <c r="F14" s="12" t="s">
        <v>260</v>
      </c>
      <c r="G14" s="12" t="s">
        <v>88</v>
      </c>
      <c r="H14" s="12" t="s">
        <v>260</v>
      </c>
    </row>
    <row r="15" spans="1:8" x14ac:dyDescent="0.25">
      <c r="A15" s="15" t="s">
        <v>172</v>
      </c>
      <c r="B15" t="s">
        <v>5</v>
      </c>
      <c r="C15" s="19" t="s">
        <v>263</v>
      </c>
      <c r="D15" s="19" t="s">
        <v>263</v>
      </c>
      <c r="E15" s="12" t="s">
        <v>263</v>
      </c>
      <c r="F15" s="12" t="s">
        <v>263</v>
      </c>
      <c r="G15" s="12" t="s">
        <v>88</v>
      </c>
      <c r="H15" s="12" t="s">
        <v>263</v>
      </c>
    </row>
    <row r="16" spans="1:8" x14ac:dyDescent="0.25">
      <c r="A16" s="15" t="s">
        <v>173</v>
      </c>
      <c r="B16" t="s">
        <v>97</v>
      </c>
      <c r="C16">
        <v>1</v>
      </c>
      <c r="D16">
        <v>1</v>
      </c>
      <c r="F16">
        <v>1</v>
      </c>
      <c r="H16">
        <v>1</v>
      </c>
    </row>
    <row r="17" spans="1:8" x14ac:dyDescent="0.25">
      <c r="A17" s="15" t="s">
        <v>174</v>
      </c>
      <c r="B17" t="s">
        <v>98</v>
      </c>
      <c r="C17" s="12" t="s">
        <v>264</v>
      </c>
      <c r="D17" s="12" t="s">
        <v>264</v>
      </c>
      <c r="E17" s="12" t="s">
        <v>264</v>
      </c>
      <c r="F17" s="12" t="s">
        <v>264</v>
      </c>
      <c r="G17" s="12" t="s">
        <v>88</v>
      </c>
      <c r="H17" s="12" t="s">
        <v>264</v>
      </c>
    </row>
    <row r="18" spans="1:8" x14ac:dyDescent="0.25">
      <c r="A18" s="15" t="s">
        <v>175</v>
      </c>
      <c r="B18" t="s">
        <v>99</v>
      </c>
      <c r="C18">
        <v>1</v>
      </c>
      <c r="D18">
        <v>1</v>
      </c>
      <c r="E18">
        <v>1</v>
      </c>
      <c r="F18">
        <v>1</v>
      </c>
      <c r="H18">
        <v>1</v>
      </c>
    </row>
    <row r="19" spans="1:8" x14ac:dyDescent="0.25">
      <c r="A19" s="15" t="s">
        <v>176</v>
      </c>
      <c r="B19" t="s">
        <v>100</v>
      </c>
      <c r="C19" s="12" t="s">
        <v>264</v>
      </c>
      <c r="D19" s="12" t="s">
        <v>264</v>
      </c>
      <c r="E19" s="12" t="s">
        <v>264</v>
      </c>
      <c r="F19" s="12" t="s">
        <v>264</v>
      </c>
      <c r="G19" s="12" t="s">
        <v>88</v>
      </c>
      <c r="H19" s="12" t="s">
        <v>264</v>
      </c>
    </row>
    <row r="20" spans="1:8" x14ac:dyDescent="0.25">
      <c r="A20" s="15" t="s">
        <v>177</v>
      </c>
      <c r="B20" t="s">
        <v>117</v>
      </c>
      <c r="C20">
        <v>1</v>
      </c>
      <c r="D20">
        <v>1</v>
      </c>
      <c r="E20">
        <v>1</v>
      </c>
      <c r="F20">
        <v>1</v>
      </c>
      <c r="H20">
        <v>1</v>
      </c>
    </row>
    <row r="21" spans="1:8" x14ac:dyDescent="0.25">
      <c r="A21" s="15" t="s">
        <v>178</v>
      </c>
      <c r="B21" t="s">
        <v>100</v>
      </c>
      <c r="C21" s="12" t="s">
        <v>264</v>
      </c>
      <c r="D21" s="12" t="s">
        <v>264</v>
      </c>
      <c r="E21" s="12" t="s">
        <v>264</v>
      </c>
      <c r="F21" s="12" t="s">
        <v>264</v>
      </c>
      <c r="G21" s="12" t="s">
        <v>88</v>
      </c>
      <c r="H21" s="12" t="s">
        <v>264</v>
      </c>
    </row>
    <row r="22" spans="1:8" x14ac:dyDescent="0.25">
      <c r="A22" s="15" t="s">
        <v>179</v>
      </c>
      <c r="B22" t="s">
        <v>101</v>
      </c>
      <c r="C22" s="12" t="s">
        <v>88</v>
      </c>
      <c r="D22" s="12" t="s">
        <v>88</v>
      </c>
      <c r="E22" s="12" t="s">
        <v>88</v>
      </c>
      <c r="F22" s="12" t="s">
        <v>88</v>
      </c>
      <c r="G22" s="12" t="s">
        <v>88</v>
      </c>
      <c r="H22" s="12" t="s">
        <v>88</v>
      </c>
    </row>
    <row r="23" spans="1:8" x14ac:dyDescent="0.25">
      <c r="A23" s="15" t="s">
        <v>180</v>
      </c>
      <c r="B23" s="15" t="s">
        <v>118</v>
      </c>
      <c r="C23" s="12" t="s">
        <v>88</v>
      </c>
      <c r="D23" s="12" t="s">
        <v>88</v>
      </c>
      <c r="E23" s="12" t="s">
        <v>88</v>
      </c>
      <c r="F23" s="12" t="s">
        <v>88</v>
      </c>
      <c r="G23" s="12" t="s">
        <v>88</v>
      </c>
      <c r="H23" s="12" t="s">
        <v>88</v>
      </c>
    </row>
    <row r="24" spans="1:8" x14ac:dyDescent="0.25">
      <c r="A24" s="15" t="s">
        <v>181</v>
      </c>
      <c r="B24" s="15" t="s">
        <v>119</v>
      </c>
      <c r="C24" s="12" t="s">
        <v>88</v>
      </c>
      <c r="D24" s="12" t="s">
        <v>88</v>
      </c>
      <c r="E24" s="12" t="s">
        <v>88</v>
      </c>
      <c r="F24" s="12" t="s">
        <v>88</v>
      </c>
      <c r="G24" s="12" t="s">
        <v>88</v>
      </c>
      <c r="H24" s="12" t="s">
        <v>88</v>
      </c>
    </row>
    <row r="25" spans="1:8" x14ac:dyDescent="0.25">
      <c r="A25" s="15" t="s">
        <v>182</v>
      </c>
      <c r="B25" s="15" t="s">
        <v>120</v>
      </c>
      <c r="C25" s="12" t="s">
        <v>88</v>
      </c>
      <c r="D25" s="12" t="s">
        <v>88</v>
      </c>
      <c r="E25" s="12" t="s">
        <v>88</v>
      </c>
      <c r="F25" s="12" t="s">
        <v>88</v>
      </c>
      <c r="G25" s="12" t="s">
        <v>88</v>
      </c>
      <c r="H25" s="12" t="s">
        <v>88</v>
      </c>
    </row>
    <row r="26" spans="1:8" x14ac:dyDescent="0.25">
      <c r="A26" s="15" t="s">
        <v>183</v>
      </c>
      <c r="B26" t="s">
        <v>102</v>
      </c>
    </row>
    <row r="27" spans="1:8" x14ac:dyDescent="0.25">
      <c r="A27" s="15" t="s">
        <v>184</v>
      </c>
      <c r="B27" t="s">
        <v>90</v>
      </c>
      <c r="C27" s="12" t="s">
        <v>88</v>
      </c>
      <c r="D27" s="12" t="s">
        <v>88</v>
      </c>
      <c r="E27" s="12" t="s">
        <v>88</v>
      </c>
      <c r="F27" s="12" t="s">
        <v>88</v>
      </c>
      <c r="G27" s="12" t="s">
        <v>88</v>
      </c>
      <c r="H27" s="12" t="s">
        <v>88</v>
      </c>
    </row>
    <row r="28" spans="1:8" x14ac:dyDescent="0.25">
      <c r="A28" s="15" t="s">
        <v>185</v>
      </c>
      <c r="B28" t="s">
        <v>121</v>
      </c>
      <c r="C28" s="12" t="s">
        <v>88</v>
      </c>
      <c r="D28" s="12" t="s">
        <v>88</v>
      </c>
      <c r="E28" s="12" t="s">
        <v>88</v>
      </c>
      <c r="F28" s="12" t="s">
        <v>88</v>
      </c>
      <c r="G28" s="12" t="s">
        <v>88</v>
      </c>
      <c r="H28" s="12" t="s">
        <v>88</v>
      </c>
    </row>
    <row r="29" spans="1:8" x14ac:dyDescent="0.25">
      <c r="A29" s="15" t="s">
        <v>186</v>
      </c>
      <c r="B29" t="s">
        <v>122</v>
      </c>
      <c r="C29" s="12" t="s">
        <v>88</v>
      </c>
      <c r="D29" s="12" t="s">
        <v>88</v>
      </c>
      <c r="E29" s="12" t="s">
        <v>88</v>
      </c>
      <c r="F29" s="12" t="s">
        <v>88</v>
      </c>
      <c r="G29" s="12" t="s">
        <v>88</v>
      </c>
      <c r="H29" s="12" t="s">
        <v>88</v>
      </c>
    </row>
    <row r="30" spans="1:8" x14ac:dyDescent="0.25">
      <c r="A30" s="15" t="s">
        <v>187</v>
      </c>
      <c r="B30" s="15" t="s">
        <v>123</v>
      </c>
      <c r="C30" s="12" t="s">
        <v>88</v>
      </c>
      <c r="D30" s="12" t="s">
        <v>88</v>
      </c>
      <c r="E30" s="12" t="s">
        <v>88</v>
      </c>
      <c r="F30" s="12" t="s">
        <v>88</v>
      </c>
      <c r="G30" s="12" t="s">
        <v>88</v>
      </c>
      <c r="H30" s="12" t="s">
        <v>88</v>
      </c>
    </row>
    <row r="31" spans="1:8" x14ac:dyDescent="0.25">
      <c r="A31" s="15" t="s">
        <v>188</v>
      </c>
      <c r="B31" t="s">
        <v>7</v>
      </c>
    </row>
    <row r="32" spans="1:8" x14ac:dyDescent="0.25">
      <c r="A32" s="15" t="s">
        <v>189</v>
      </c>
      <c r="B32" t="s">
        <v>90</v>
      </c>
      <c r="C32" s="12" t="s">
        <v>88</v>
      </c>
      <c r="D32" s="12" t="s">
        <v>88</v>
      </c>
      <c r="E32" s="12" t="s">
        <v>88</v>
      </c>
      <c r="F32" s="12" t="s">
        <v>88</v>
      </c>
      <c r="G32" s="12" t="s">
        <v>88</v>
      </c>
      <c r="H32" s="12" t="s">
        <v>88</v>
      </c>
    </row>
    <row r="33" spans="1:8" x14ac:dyDescent="0.25">
      <c r="A33" s="15" t="s">
        <v>190</v>
      </c>
      <c r="B33" t="s">
        <v>91</v>
      </c>
      <c r="C33" s="12" t="s">
        <v>88</v>
      </c>
      <c r="D33" s="12" t="s">
        <v>88</v>
      </c>
      <c r="E33" s="12" t="s">
        <v>88</v>
      </c>
      <c r="F33" s="12" t="s">
        <v>88</v>
      </c>
      <c r="G33" s="12" t="s">
        <v>88</v>
      </c>
      <c r="H33" s="12" t="s">
        <v>88</v>
      </c>
    </row>
    <row r="34" spans="1:8" x14ac:dyDescent="0.25">
      <c r="A34" s="15" t="s">
        <v>191</v>
      </c>
      <c r="B34" t="s">
        <v>142</v>
      </c>
      <c r="C34" s="12" t="s">
        <v>88</v>
      </c>
      <c r="D34" s="12" t="s">
        <v>88</v>
      </c>
      <c r="E34" s="12" t="s">
        <v>88</v>
      </c>
      <c r="F34" s="12" t="s">
        <v>88</v>
      </c>
      <c r="G34" s="12" t="s">
        <v>88</v>
      </c>
      <c r="H34" s="12" t="s">
        <v>88</v>
      </c>
    </row>
    <row r="35" spans="1:8" x14ac:dyDescent="0.25">
      <c r="A35" s="15" t="s">
        <v>192</v>
      </c>
      <c r="B35" t="s">
        <v>113</v>
      </c>
      <c r="C35" s="12" t="s">
        <v>265</v>
      </c>
      <c r="D35" s="12" t="s">
        <v>266</v>
      </c>
      <c r="E35" s="12" t="s">
        <v>267</v>
      </c>
      <c r="F35" s="12" t="s">
        <v>268</v>
      </c>
      <c r="G35" s="12" t="s">
        <v>269</v>
      </c>
      <c r="H35" s="12" t="s">
        <v>270</v>
      </c>
    </row>
    <row r="36" spans="1:8" x14ac:dyDescent="0.25">
      <c r="A36" s="15" t="s">
        <v>193</v>
      </c>
      <c r="B36" t="s">
        <v>0</v>
      </c>
      <c r="C36" s="12" t="s">
        <v>271</v>
      </c>
      <c r="D36" s="12" t="s">
        <v>272</v>
      </c>
      <c r="E36" s="12" t="s">
        <v>273</v>
      </c>
      <c r="F36" s="12" t="s">
        <v>274</v>
      </c>
      <c r="G36" s="12" t="s">
        <v>88</v>
      </c>
      <c r="H36" s="12" t="s">
        <v>271</v>
      </c>
    </row>
    <row r="37" spans="1:8" x14ac:dyDescent="0.25">
      <c r="A37" s="15" t="s">
        <v>194</v>
      </c>
      <c r="B37" t="s">
        <v>143</v>
      </c>
      <c r="C37" s="12" t="s">
        <v>275</v>
      </c>
      <c r="D37" s="12" t="s">
        <v>276</v>
      </c>
      <c r="E37" s="12" t="s">
        <v>277</v>
      </c>
      <c r="F37" s="12" t="s">
        <v>278</v>
      </c>
      <c r="G37" s="12" t="s">
        <v>88</v>
      </c>
      <c r="H37" s="12" t="s">
        <v>275</v>
      </c>
    </row>
    <row r="38" spans="1:8" x14ac:dyDescent="0.25">
      <c r="A38" s="15" t="s">
        <v>195</v>
      </c>
      <c r="B38" t="s">
        <v>124</v>
      </c>
      <c r="C38" s="12" t="s">
        <v>88</v>
      </c>
      <c r="D38" s="12" t="s">
        <v>88</v>
      </c>
      <c r="E38" s="12" t="s">
        <v>88</v>
      </c>
      <c r="F38" s="12" t="s">
        <v>88</v>
      </c>
      <c r="G38" s="12" t="s">
        <v>88</v>
      </c>
      <c r="H38" s="12" t="s">
        <v>88</v>
      </c>
    </row>
    <row r="39" spans="1:8" x14ac:dyDescent="0.25">
      <c r="A39" s="15" t="s">
        <v>196</v>
      </c>
      <c r="B39" t="s">
        <v>92</v>
      </c>
      <c r="C39" s="12" t="s">
        <v>88</v>
      </c>
      <c r="D39" s="12" t="s">
        <v>88</v>
      </c>
      <c r="E39" s="12" t="s">
        <v>88</v>
      </c>
      <c r="F39" s="12" t="s">
        <v>88</v>
      </c>
      <c r="G39" s="12" t="s">
        <v>88</v>
      </c>
      <c r="H39" s="12" t="s">
        <v>88</v>
      </c>
    </row>
    <row r="40" spans="1:8" x14ac:dyDescent="0.25">
      <c r="A40" s="15" t="s">
        <v>197</v>
      </c>
      <c r="B40" s="12" t="s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</row>
    <row r="41" spans="1:8" x14ac:dyDescent="0.25">
      <c r="A41" s="14" t="s">
        <v>198</v>
      </c>
      <c r="B41" s="14" t="s">
        <v>17</v>
      </c>
    </row>
    <row r="42" spans="1:8" x14ac:dyDescent="0.25">
      <c r="A42">
        <v>1</v>
      </c>
      <c r="B42">
        <v>101</v>
      </c>
    </row>
    <row r="43" spans="1:8" x14ac:dyDescent="0.25">
      <c r="A43">
        <v>2</v>
      </c>
      <c r="B43">
        <v>102</v>
      </c>
    </row>
    <row r="44" spans="1:8" x14ac:dyDescent="0.25">
      <c r="A44">
        <v>3</v>
      </c>
      <c r="B44">
        <v>103</v>
      </c>
    </row>
    <row r="45" spans="1:8" x14ac:dyDescent="0.25">
      <c r="A45">
        <v>4</v>
      </c>
      <c r="B45">
        <v>104</v>
      </c>
    </row>
    <row r="46" spans="1:8" x14ac:dyDescent="0.25">
      <c r="A46">
        <v>2</v>
      </c>
      <c r="B46">
        <v>201</v>
      </c>
    </row>
    <row r="47" spans="1:8" x14ac:dyDescent="0.25">
      <c r="A47">
        <v>1</v>
      </c>
      <c r="B47">
        <v>202</v>
      </c>
    </row>
    <row r="48" spans="1:8" x14ac:dyDescent="0.25">
      <c r="A48">
        <v>4</v>
      </c>
      <c r="B48">
        <v>203</v>
      </c>
    </row>
    <row r="49" spans="1:2" x14ac:dyDescent="0.25">
      <c r="A49">
        <v>3</v>
      </c>
      <c r="B49">
        <v>204</v>
      </c>
    </row>
    <row r="50" spans="1:2" x14ac:dyDescent="0.25">
      <c r="A50">
        <v>1</v>
      </c>
      <c r="B50">
        <v>301</v>
      </c>
    </row>
    <row r="51" spans="1:2" x14ac:dyDescent="0.25">
      <c r="A51">
        <v>2</v>
      </c>
      <c r="B51">
        <v>302</v>
      </c>
    </row>
    <row r="52" spans="1:2" x14ac:dyDescent="0.25">
      <c r="A52">
        <v>3</v>
      </c>
      <c r="B52">
        <v>303</v>
      </c>
    </row>
    <row r="53" spans="1:2" x14ac:dyDescent="0.25">
      <c r="A53">
        <v>4</v>
      </c>
      <c r="B53">
        <v>304</v>
      </c>
    </row>
    <row r="54" spans="1:2" x14ac:dyDescent="0.25">
      <c r="A54">
        <v>3</v>
      </c>
      <c r="B54">
        <v>401</v>
      </c>
    </row>
    <row r="55" spans="1:2" x14ac:dyDescent="0.25">
      <c r="A55">
        <v>1</v>
      </c>
      <c r="B55">
        <v>402</v>
      </c>
    </row>
    <row r="56" spans="1:2" x14ac:dyDescent="0.25">
      <c r="A56">
        <v>4</v>
      </c>
      <c r="B56">
        <v>403</v>
      </c>
    </row>
    <row r="57" spans="1:2" x14ac:dyDescent="0.25">
      <c r="A57">
        <v>2</v>
      </c>
      <c r="B57">
        <v>404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2C2C-138E-49FC-A365-57F3DE953352}">
  <dimension ref="A1:M5"/>
  <sheetViews>
    <sheetView workbookViewId="0">
      <pane ySplit="1" topLeftCell="A2" activePane="bottomLeft" state="frozen"/>
      <selection pane="bottomLeft" activeCell="B2" sqref="B2"/>
    </sheetView>
  </sheetViews>
  <sheetFormatPr defaultRowHeight="13.2" x14ac:dyDescent="0.25"/>
  <sheetData>
    <row r="1" spans="1:13" x14ac:dyDescent="0.25">
      <c r="A1" s="20" t="s">
        <v>279</v>
      </c>
      <c r="B1" s="20" t="s">
        <v>280</v>
      </c>
      <c r="C1" s="20" t="s">
        <v>281</v>
      </c>
      <c r="D1" s="20" t="s">
        <v>282</v>
      </c>
      <c r="E1" s="20" t="s">
        <v>283</v>
      </c>
      <c r="F1" s="20" t="s">
        <v>284</v>
      </c>
      <c r="G1" s="20" t="s">
        <v>285</v>
      </c>
      <c r="H1" s="20" t="s">
        <v>286</v>
      </c>
      <c r="I1" s="20" t="s">
        <v>287</v>
      </c>
      <c r="J1" s="20" t="s">
        <v>288</v>
      </c>
      <c r="K1" s="20" t="s">
        <v>289</v>
      </c>
      <c r="L1" s="20" t="s">
        <v>290</v>
      </c>
      <c r="M1" s="20" t="s">
        <v>291</v>
      </c>
    </row>
    <row r="2" spans="1:13" x14ac:dyDescent="0.25">
      <c r="A2">
        <v>1</v>
      </c>
      <c r="B2" t="e">
        <f>AVERAGE('Subsample Plot Data'!C42,'Subsample Plot Data'!C47,'Subsample Plot Data'!C50,'Subsample Plot Data'!C55)</f>
        <v>#DIV/0!</v>
      </c>
      <c r="C2" t="e">
        <f>STDEV('Subsample Plot Data'!C42,'Subsample Plot Data'!C47,'Subsample Plot Data'!C50,'Subsample Plot Data'!C55)</f>
        <v>#DIV/0!</v>
      </c>
      <c r="D2" t="e">
        <f>AVERAGE('Subsample Plot Data'!D42,'Subsample Plot Data'!D47,'Subsample Plot Data'!D50,'Subsample Plot Data'!D55)</f>
        <v>#DIV/0!</v>
      </c>
      <c r="E2" t="e">
        <f>STDEV('Subsample Plot Data'!D42,'Subsample Plot Data'!D47,'Subsample Plot Data'!D50,'Subsample Plot Data'!D55)</f>
        <v>#DIV/0!</v>
      </c>
      <c r="F2" t="e">
        <f>AVERAGE('Subsample Plot Data'!E42,'Subsample Plot Data'!E47,'Subsample Plot Data'!E50,'Subsample Plot Data'!E55)</f>
        <v>#DIV/0!</v>
      </c>
      <c r="G2" t="e">
        <f>STDEV('Subsample Plot Data'!E42,'Subsample Plot Data'!E47,'Subsample Plot Data'!E50,'Subsample Plot Data'!E55)</f>
        <v>#DIV/0!</v>
      </c>
      <c r="H2" t="e">
        <f>AVERAGE('Subsample Plot Data'!F42,'Subsample Plot Data'!F47,'Subsample Plot Data'!F50,'Subsample Plot Data'!F55)</f>
        <v>#DIV/0!</v>
      </c>
      <c r="I2" t="e">
        <f>STDEV('Subsample Plot Data'!F42,'Subsample Plot Data'!F47,'Subsample Plot Data'!F50,'Subsample Plot Data'!F55)</f>
        <v>#DIV/0!</v>
      </c>
      <c r="J2" t="e">
        <f>AVERAGE('Subsample Plot Data'!G42,'Subsample Plot Data'!G47,'Subsample Plot Data'!G50,'Subsample Plot Data'!G55)</f>
        <v>#DIV/0!</v>
      </c>
      <c r="K2" t="e">
        <f>STDEV('Subsample Plot Data'!G42,'Subsample Plot Data'!G47,'Subsample Plot Data'!G50,'Subsample Plot Data'!G55)</f>
        <v>#DIV/0!</v>
      </c>
      <c r="L2" t="e">
        <f>AVERAGE('Subsample Plot Data'!H42,'Subsample Plot Data'!H47,'Subsample Plot Data'!H50,'Subsample Plot Data'!H55)</f>
        <v>#DIV/0!</v>
      </c>
      <c r="M2" t="e">
        <f>STDEV('Subsample Plot Data'!H42,'Subsample Plot Data'!H47,'Subsample Plot Data'!H50,'Subsample Plot Data'!H55)</f>
        <v>#DIV/0!</v>
      </c>
    </row>
    <row r="3" spans="1:13" x14ac:dyDescent="0.25">
      <c r="A3">
        <v>2</v>
      </c>
      <c r="B3" t="e">
        <f>AVERAGE('Subsample Plot Data'!C43,'Subsample Plot Data'!C46,'Subsample Plot Data'!C51,'Subsample Plot Data'!C57)</f>
        <v>#DIV/0!</v>
      </c>
      <c r="C3" t="e">
        <f>STDEV('Subsample Plot Data'!C43,'Subsample Plot Data'!C46,'Subsample Plot Data'!C51,'Subsample Plot Data'!C57)</f>
        <v>#DIV/0!</v>
      </c>
      <c r="D3" t="e">
        <f>AVERAGE('Subsample Plot Data'!D43,'Subsample Plot Data'!D46,'Subsample Plot Data'!D51,'Subsample Plot Data'!D57)</f>
        <v>#DIV/0!</v>
      </c>
      <c r="E3" t="e">
        <f>STDEV('Subsample Plot Data'!D43,'Subsample Plot Data'!D46,'Subsample Plot Data'!D51,'Subsample Plot Data'!D57)</f>
        <v>#DIV/0!</v>
      </c>
      <c r="F3" t="e">
        <f>AVERAGE('Subsample Plot Data'!E43,'Subsample Plot Data'!E46,'Subsample Plot Data'!E51,'Subsample Plot Data'!E57)</f>
        <v>#DIV/0!</v>
      </c>
      <c r="G3" t="e">
        <f>STDEV('Subsample Plot Data'!E43,'Subsample Plot Data'!E46,'Subsample Plot Data'!E51,'Subsample Plot Data'!E57)</f>
        <v>#DIV/0!</v>
      </c>
      <c r="H3" t="e">
        <f>AVERAGE('Subsample Plot Data'!F43,'Subsample Plot Data'!F46,'Subsample Plot Data'!F51,'Subsample Plot Data'!F57)</f>
        <v>#DIV/0!</v>
      </c>
      <c r="I3" t="e">
        <f>STDEV('Subsample Plot Data'!F43,'Subsample Plot Data'!F46,'Subsample Plot Data'!F51,'Subsample Plot Data'!F57)</f>
        <v>#DIV/0!</v>
      </c>
      <c r="J3" t="e">
        <f>AVERAGE('Subsample Plot Data'!G43,'Subsample Plot Data'!G46,'Subsample Plot Data'!G51,'Subsample Plot Data'!G57)</f>
        <v>#DIV/0!</v>
      </c>
      <c r="K3" t="e">
        <f>STDEV('Subsample Plot Data'!G43,'Subsample Plot Data'!G46,'Subsample Plot Data'!G51,'Subsample Plot Data'!G57)</f>
        <v>#DIV/0!</v>
      </c>
      <c r="L3" t="e">
        <f>AVERAGE('Subsample Plot Data'!H43,'Subsample Plot Data'!H46,'Subsample Plot Data'!H51,'Subsample Plot Data'!H57)</f>
        <v>#DIV/0!</v>
      </c>
      <c r="M3" t="e">
        <f>STDEV('Subsample Plot Data'!H43,'Subsample Plot Data'!H46,'Subsample Plot Data'!H51,'Subsample Plot Data'!H57)</f>
        <v>#DIV/0!</v>
      </c>
    </row>
    <row r="4" spans="1:13" x14ac:dyDescent="0.25">
      <c r="A4">
        <v>3</v>
      </c>
      <c r="B4" t="e">
        <f>AVERAGE('Subsample Plot Data'!C44,'Subsample Plot Data'!C49,'Subsample Plot Data'!C52,'Subsample Plot Data'!C54)</f>
        <v>#DIV/0!</v>
      </c>
      <c r="C4" t="e">
        <f>STDEV('Subsample Plot Data'!C44,'Subsample Plot Data'!C49,'Subsample Plot Data'!C52,'Subsample Plot Data'!C54)</f>
        <v>#DIV/0!</v>
      </c>
      <c r="D4" t="e">
        <f>AVERAGE('Subsample Plot Data'!D44,'Subsample Plot Data'!D49,'Subsample Plot Data'!D52,'Subsample Plot Data'!D54)</f>
        <v>#DIV/0!</v>
      </c>
      <c r="E4" t="e">
        <f>STDEV('Subsample Plot Data'!D44,'Subsample Plot Data'!D49,'Subsample Plot Data'!D52,'Subsample Plot Data'!D54)</f>
        <v>#DIV/0!</v>
      </c>
      <c r="F4" t="e">
        <f>AVERAGE('Subsample Plot Data'!E44,'Subsample Plot Data'!E49,'Subsample Plot Data'!E52,'Subsample Plot Data'!E54)</f>
        <v>#DIV/0!</v>
      </c>
      <c r="G4" t="e">
        <f>STDEV('Subsample Plot Data'!E44,'Subsample Plot Data'!E49,'Subsample Plot Data'!E52,'Subsample Plot Data'!E54)</f>
        <v>#DIV/0!</v>
      </c>
      <c r="H4" t="e">
        <f>AVERAGE('Subsample Plot Data'!F44,'Subsample Plot Data'!F49,'Subsample Plot Data'!F52,'Subsample Plot Data'!F54)</f>
        <v>#DIV/0!</v>
      </c>
      <c r="I4" t="e">
        <f>STDEV('Subsample Plot Data'!F44,'Subsample Plot Data'!F49,'Subsample Plot Data'!F52,'Subsample Plot Data'!F54)</f>
        <v>#DIV/0!</v>
      </c>
      <c r="J4" t="e">
        <f>AVERAGE('Subsample Plot Data'!G44,'Subsample Plot Data'!G49,'Subsample Plot Data'!G52,'Subsample Plot Data'!G54)</f>
        <v>#DIV/0!</v>
      </c>
      <c r="K4" t="e">
        <f>STDEV('Subsample Plot Data'!G44,'Subsample Plot Data'!G49,'Subsample Plot Data'!G52,'Subsample Plot Data'!G54)</f>
        <v>#DIV/0!</v>
      </c>
      <c r="L4" t="e">
        <f>AVERAGE('Subsample Plot Data'!H44,'Subsample Plot Data'!H49,'Subsample Plot Data'!H52,'Subsample Plot Data'!H54)</f>
        <v>#DIV/0!</v>
      </c>
      <c r="M4" t="e">
        <f>STDEV('Subsample Plot Data'!H44,'Subsample Plot Data'!H49,'Subsample Plot Data'!H52,'Subsample Plot Data'!H54)</f>
        <v>#DIV/0!</v>
      </c>
    </row>
    <row r="5" spans="1:13" x14ac:dyDescent="0.25">
      <c r="A5">
        <v>4</v>
      </c>
      <c r="B5" t="e">
        <f>AVERAGE('Subsample Plot Data'!C45,'Subsample Plot Data'!C48,'Subsample Plot Data'!C53,'Subsample Plot Data'!C56)</f>
        <v>#DIV/0!</v>
      </c>
      <c r="C5" t="e">
        <f>STDEV('Subsample Plot Data'!C45,'Subsample Plot Data'!C48,'Subsample Plot Data'!C53,'Subsample Plot Data'!C56)</f>
        <v>#DIV/0!</v>
      </c>
      <c r="D5" t="e">
        <f>AVERAGE('Subsample Plot Data'!D45,'Subsample Plot Data'!D48,'Subsample Plot Data'!D53,'Subsample Plot Data'!D56)</f>
        <v>#DIV/0!</v>
      </c>
      <c r="E5" t="e">
        <f>STDEV('Subsample Plot Data'!D45,'Subsample Plot Data'!D48,'Subsample Plot Data'!D53,'Subsample Plot Data'!D56)</f>
        <v>#DIV/0!</v>
      </c>
      <c r="F5" t="e">
        <f>AVERAGE('Subsample Plot Data'!E45,'Subsample Plot Data'!E48,'Subsample Plot Data'!E53,'Subsample Plot Data'!E56)</f>
        <v>#DIV/0!</v>
      </c>
      <c r="G5" t="e">
        <f>STDEV('Subsample Plot Data'!E45,'Subsample Plot Data'!E48,'Subsample Plot Data'!E53,'Subsample Plot Data'!E56)</f>
        <v>#DIV/0!</v>
      </c>
      <c r="H5" t="e">
        <f>AVERAGE('Subsample Plot Data'!F45,'Subsample Plot Data'!F48,'Subsample Plot Data'!F53,'Subsample Plot Data'!F56)</f>
        <v>#DIV/0!</v>
      </c>
      <c r="I5" t="e">
        <f>STDEV('Subsample Plot Data'!F45,'Subsample Plot Data'!F48,'Subsample Plot Data'!F53,'Subsample Plot Data'!F56)</f>
        <v>#DIV/0!</v>
      </c>
      <c r="J5" t="e">
        <f>AVERAGE('Subsample Plot Data'!G45,'Subsample Plot Data'!G48,'Subsample Plot Data'!G53,'Subsample Plot Data'!G56)</f>
        <v>#DIV/0!</v>
      </c>
      <c r="K5" t="e">
        <f>STDEV('Subsample Plot Data'!G45,'Subsample Plot Data'!G48,'Subsample Plot Data'!G53,'Subsample Plot Data'!G56)</f>
        <v>#DIV/0!</v>
      </c>
      <c r="L5" t="e">
        <f>AVERAGE('Subsample Plot Data'!H45,'Subsample Plot Data'!H48,'Subsample Plot Data'!H53,'Subsample Plot Data'!H56)</f>
        <v>#DIV/0!</v>
      </c>
      <c r="M5" t="e">
        <f>STDEV('Subsample Plot Data'!H45,'Subsample Plot Data'!H48,'Subsample Plot Data'!H53,'Subsample Plot Data'!H56)</f>
        <v>#DIV/0!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CB5B-2298-4B47-A46F-B233352F02DB}">
  <dimension ref="A1:H79"/>
  <sheetViews>
    <sheetView workbookViewId="0">
      <pane xSplit="2" topLeftCell="C1" activePane="topRight" state="frozen"/>
      <selection pane="topRight" activeCell="C1" sqref="C1"/>
    </sheetView>
  </sheetViews>
  <sheetFormatPr defaultRowHeight="13.2" x14ac:dyDescent="0.25"/>
  <cols>
    <col min="1" max="1" width="0.5546875" customWidth="1"/>
    <col min="2" max="2" width="17.109375" customWidth="1"/>
  </cols>
  <sheetData>
    <row r="1" spans="1:8" x14ac:dyDescent="0.25">
      <c r="A1" t="s">
        <v>22</v>
      </c>
      <c r="B1" t="s">
        <v>23</v>
      </c>
    </row>
    <row r="2" spans="1:8" x14ac:dyDescent="0.25">
      <c r="A2" t="s">
        <v>24</v>
      </c>
      <c r="B2" t="s">
        <v>144</v>
      </c>
      <c r="C2" s="12" t="s">
        <v>88</v>
      </c>
      <c r="D2" s="12" t="s">
        <v>88</v>
      </c>
      <c r="E2" s="12" t="s">
        <v>88</v>
      </c>
      <c r="F2" s="12" t="s">
        <v>88</v>
      </c>
      <c r="G2" s="12" t="s">
        <v>88</v>
      </c>
      <c r="H2" s="12" t="s">
        <v>88</v>
      </c>
    </row>
    <row r="3" spans="1:8" x14ac:dyDescent="0.25">
      <c r="A3" t="s">
        <v>146</v>
      </c>
      <c r="B3" t="s">
        <v>145</v>
      </c>
      <c r="C3" s="12"/>
      <c r="D3" s="12"/>
      <c r="E3" s="12"/>
      <c r="F3" s="12"/>
      <c r="G3" s="12"/>
      <c r="H3" s="12"/>
    </row>
    <row r="4" spans="1:8" x14ac:dyDescent="0.25">
      <c r="A4" t="s">
        <v>147</v>
      </c>
      <c r="B4" t="s">
        <v>149</v>
      </c>
      <c r="C4" s="12"/>
      <c r="D4" s="12"/>
      <c r="E4" s="12"/>
      <c r="F4" s="12"/>
      <c r="G4" s="12"/>
      <c r="H4" s="12"/>
    </row>
    <row r="5" spans="1:8" x14ac:dyDescent="0.25">
      <c r="A5" t="s">
        <v>148</v>
      </c>
      <c r="B5" t="s">
        <v>150</v>
      </c>
      <c r="C5" s="12"/>
      <c r="D5" s="12"/>
      <c r="E5" s="12"/>
      <c r="F5" s="12"/>
      <c r="G5" s="12"/>
      <c r="H5" s="12"/>
    </row>
    <row r="6" spans="1:8" x14ac:dyDescent="0.25">
      <c r="A6" t="s">
        <v>77</v>
      </c>
      <c r="B6" t="s">
        <v>75</v>
      </c>
    </row>
    <row r="7" spans="1:8" x14ac:dyDescent="0.25">
      <c r="A7" t="s">
        <v>78</v>
      </c>
      <c r="B7" t="s">
        <v>76</v>
      </c>
    </row>
    <row r="8" spans="1:8" x14ac:dyDescent="0.25">
      <c r="A8" t="s">
        <v>21</v>
      </c>
      <c r="B8" t="s">
        <v>79</v>
      </c>
    </row>
    <row r="9" spans="1:8" x14ac:dyDescent="0.25">
      <c r="A9" t="s">
        <v>103</v>
      </c>
      <c r="B9" t="s">
        <v>104</v>
      </c>
    </row>
    <row r="10" spans="1:8" x14ac:dyDescent="0.25">
      <c r="A10" t="s">
        <v>25</v>
      </c>
      <c r="B10" t="s">
        <v>199</v>
      </c>
    </row>
    <row r="11" spans="1:8" x14ac:dyDescent="0.25">
      <c r="A11" t="s">
        <v>200</v>
      </c>
      <c r="B11" t="s">
        <v>201</v>
      </c>
    </row>
    <row r="12" spans="1:8" x14ac:dyDescent="0.25">
      <c r="A12" t="s">
        <v>26</v>
      </c>
      <c r="B12" t="s">
        <v>202</v>
      </c>
    </row>
    <row r="13" spans="1:8" x14ac:dyDescent="0.25">
      <c r="A13" t="s">
        <v>27</v>
      </c>
      <c r="B13" s="12" t="s">
        <v>203</v>
      </c>
    </row>
    <row r="14" spans="1:8" x14ac:dyDescent="0.25">
      <c r="A14" t="s">
        <v>204</v>
      </c>
      <c r="B14" s="12" t="s">
        <v>205</v>
      </c>
    </row>
    <row r="15" spans="1:8" x14ac:dyDescent="0.25">
      <c r="A15" t="s">
        <v>28</v>
      </c>
      <c r="B15" t="s">
        <v>206</v>
      </c>
    </row>
    <row r="16" spans="1:8" x14ac:dyDescent="0.25">
      <c r="A16" t="s">
        <v>105</v>
      </c>
      <c r="B16" t="s">
        <v>207</v>
      </c>
    </row>
    <row r="17" spans="1:2" x14ac:dyDescent="0.25">
      <c r="A17" t="s">
        <v>208</v>
      </c>
      <c r="B17" t="s">
        <v>209</v>
      </c>
    </row>
    <row r="18" spans="1:2" x14ac:dyDescent="0.25">
      <c r="A18" t="s">
        <v>210</v>
      </c>
      <c r="B18" t="s">
        <v>207</v>
      </c>
    </row>
    <row r="19" spans="1:2" x14ac:dyDescent="0.25">
      <c r="A19" t="s">
        <v>211</v>
      </c>
      <c r="B19" t="s">
        <v>212</v>
      </c>
    </row>
    <row r="20" spans="1:2" x14ac:dyDescent="0.25">
      <c r="A20" t="s">
        <v>213</v>
      </c>
      <c r="B20" t="s">
        <v>207</v>
      </c>
    </row>
    <row r="21" spans="1:2" x14ac:dyDescent="0.25">
      <c r="A21" t="s">
        <v>29</v>
      </c>
      <c r="B21" t="s">
        <v>214</v>
      </c>
    </row>
    <row r="22" spans="1:2" x14ac:dyDescent="0.25">
      <c r="A22" t="s">
        <v>30</v>
      </c>
      <c r="B22" t="s">
        <v>215</v>
      </c>
    </row>
    <row r="23" spans="1:2" x14ac:dyDescent="0.25">
      <c r="A23" t="s">
        <v>31</v>
      </c>
      <c r="B23" t="s">
        <v>32</v>
      </c>
    </row>
    <row r="24" spans="1:2" x14ac:dyDescent="0.25">
      <c r="A24" t="s">
        <v>33</v>
      </c>
      <c r="B24" t="s">
        <v>216</v>
      </c>
    </row>
    <row r="25" spans="1:2" x14ac:dyDescent="0.25">
      <c r="A25" t="s">
        <v>34</v>
      </c>
      <c r="B25" t="s">
        <v>35</v>
      </c>
    </row>
    <row r="26" spans="1:2" x14ac:dyDescent="0.25">
      <c r="A26" t="s">
        <v>217</v>
      </c>
      <c r="B26" t="s">
        <v>218</v>
      </c>
    </row>
    <row r="27" spans="1:2" x14ac:dyDescent="0.25">
      <c r="A27" t="s">
        <v>36</v>
      </c>
      <c r="B27" t="s">
        <v>37</v>
      </c>
    </row>
    <row r="28" spans="1:2" x14ac:dyDescent="0.25">
      <c r="A28" t="s">
        <v>114</v>
      </c>
      <c r="B28" s="12" t="s">
        <v>219</v>
      </c>
    </row>
    <row r="29" spans="1:2" x14ac:dyDescent="0.25">
      <c r="A29" t="s">
        <v>151</v>
      </c>
      <c r="B29" s="12" t="s">
        <v>153</v>
      </c>
    </row>
    <row r="30" spans="1:2" x14ac:dyDescent="0.25">
      <c r="A30" t="s">
        <v>152</v>
      </c>
      <c r="B30" s="12" t="s">
        <v>154</v>
      </c>
    </row>
    <row r="31" spans="1:2" x14ac:dyDescent="0.25">
      <c r="A31" t="s">
        <v>220</v>
      </c>
      <c r="B31" s="12" t="s">
        <v>221</v>
      </c>
    </row>
    <row r="32" spans="1:2" x14ac:dyDescent="0.25">
      <c r="A32" t="s">
        <v>222</v>
      </c>
      <c r="B32" s="12" t="s">
        <v>223</v>
      </c>
    </row>
    <row r="33" spans="1:2" x14ac:dyDescent="0.25">
      <c r="A33" t="s">
        <v>224</v>
      </c>
      <c r="B33" s="12" t="s">
        <v>225</v>
      </c>
    </row>
    <row r="34" spans="1:2" x14ac:dyDescent="0.25">
      <c r="A34" t="s">
        <v>226</v>
      </c>
      <c r="B34" s="12" t="s">
        <v>223</v>
      </c>
    </row>
    <row r="35" spans="1:2" x14ac:dyDescent="0.25">
      <c r="A35" t="s">
        <v>227</v>
      </c>
      <c r="B35" s="12" t="s">
        <v>228</v>
      </c>
    </row>
    <row r="36" spans="1:2" x14ac:dyDescent="0.25">
      <c r="A36" s="12" t="s">
        <v>134</v>
      </c>
      <c r="B36" t="s">
        <v>39</v>
      </c>
    </row>
    <row r="37" spans="1:2" x14ac:dyDescent="0.25">
      <c r="A37" t="s">
        <v>38</v>
      </c>
      <c r="B37" t="s">
        <v>135</v>
      </c>
    </row>
    <row r="38" spans="1:2" x14ac:dyDescent="0.25">
      <c r="A38" t="s">
        <v>40</v>
      </c>
      <c r="B38" t="s">
        <v>41</v>
      </c>
    </row>
    <row r="39" spans="1:2" x14ac:dyDescent="0.25">
      <c r="A39" t="s">
        <v>106</v>
      </c>
      <c r="B39" t="s">
        <v>229</v>
      </c>
    </row>
    <row r="40" spans="1:2" x14ac:dyDescent="0.25">
      <c r="A40" t="s">
        <v>42</v>
      </c>
      <c r="B40" t="s">
        <v>43</v>
      </c>
    </row>
    <row r="41" spans="1:2" x14ac:dyDescent="0.25">
      <c r="A41" t="s">
        <v>44</v>
      </c>
      <c r="B41" t="s">
        <v>45</v>
      </c>
    </row>
    <row r="42" spans="1:2" x14ac:dyDescent="0.25">
      <c r="A42" t="s">
        <v>46</v>
      </c>
      <c r="B42" t="s">
        <v>47</v>
      </c>
    </row>
    <row r="43" spans="1:2" x14ac:dyDescent="0.25">
      <c r="A43" t="s">
        <v>48</v>
      </c>
      <c r="B43" t="s">
        <v>230</v>
      </c>
    </row>
    <row r="44" spans="1:2" x14ac:dyDescent="0.25">
      <c r="A44" t="s">
        <v>49</v>
      </c>
      <c r="B44" t="s">
        <v>50</v>
      </c>
    </row>
    <row r="45" spans="1:2" x14ac:dyDescent="0.25">
      <c r="A45" t="s">
        <v>107</v>
      </c>
      <c r="B45" t="s">
        <v>108</v>
      </c>
    </row>
    <row r="46" spans="1:2" x14ac:dyDescent="0.25">
      <c r="A46" t="s">
        <v>109</v>
      </c>
      <c r="B46" t="s">
        <v>231</v>
      </c>
    </row>
    <row r="47" spans="1:2" x14ac:dyDescent="0.25">
      <c r="A47" t="s">
        <v>155</v>
      </c>
      <c r="B47" t="s">
        <v>160</v>
      </c>
    </row>
    <row r="48" spans="1:2" x14ac:dyDescent="0.25">
      <c r="A48" t="s">
        <v>156</v>
      </c>
      <c r="B48" t="s">
        <v>161</v>
      </c>
    </row>
    <row r="49" spans="1:2" x14ac:dyDescent="0.25">
      <c r="A49" t="s">
        <v>157</v>
      </c>
      <c r="B49" t="s">
        <v>162</v>
      </c>
    </row>
    <row r="50" spans="1:2" x14ac:dyDescent="0.25">
      <c r="A50" t="s">
        <v>158</v>
      </c>
      <c r="B50" t="s">
        <v>163</v>
      </c>
    </row>
    <row r="51" spans="1:2" x14ac:dyDescent="0.25">
      <c r="A51" t="s">
        <v>159</v>
      </c>
      <c r="B51" t="s">
        <v>164</v>
      </c>
    </row>
    <row r="52" spans="1:2" x14ac:dyDescent="0.25">
      <c r="A52" t="s">
        <v>51</v>
      </c>
      <c r="B52" t="s">
        <v>52</v>
      </c>
    </row>
    <row r="53" spans="1:2" x14ac:dyDescent="0.25">
      <c r="A53" t="s">
        <v>53</v>
      </c>
      <c r="B53" t="s">
        <v>232</v>
      </c>
    </row>
    <row r="54" spans="1:2" x14ac:dyDescent="0.25">
      <c r="A54" t="s">
        <v>136</v>
      </c>
      <c r="B54" t="s">
        <v>137</v>
      </c>
    </row>
    <row r="55" spans="1:2" x14ac:dyDescent="0.25">
      <c r="A55" t="s">
        <v>138</v>
      </c>
      <c r="B55" t="s">
        <v>139</v>
      </c>
    </row>
    <row r="56" spans="1:2" x14ac:dyDescent="0.25">
      <c r="A56" t="s">
        <v>115</v>
      </c>
      <c r="B56" t="s">
        <v>116</v>
      </c>
    </row>
    <row r="57" spans="1:2" x14ac:dyDescent="0.25">
      <c r="A57" t="s">
        <v>54</v>
      </c>
      <c r="B57" t="s">
        <v>140</v>
      </c>
    </row>
    <row r="58" spans="1:2" x14ac:dyDescent="0.25">
      <c r="A58" t="s">
        <v>55</v>
      </c>
      <c r="B58" t="s">
        <v>233</v>
      </c>
    </row>
    <row r="59" spans="1:2" x14ac:dyDescent="0.25">
      <c r="A59" t="s">
        <v>56</v>
      </c>
      <c r="B59" t="s">
        <v>57</v>
      </c>
    </row>
    <row r="60" spans="1:2" x14ac:dyDescent="0.25">
      <c r="A60" t="s">
        <v>58</v>
      </c>
      <c r="B60" t="s">
        <v>234</v>
      </c>
    </row>
    <row r="61" spans="1:2" x14ac:dyDescent="0.25">
      <c r="A61" t="s">
        <v>235</v>
      </c>
      <c r="B61" t="s">
        <v>236</v>
      </c>
    </row>
    <row r="62" spans="1:2" x14ac:dyDescent="0.25">
      <c r="A62" t="s">
        <v>237</v>
      </c>
      <c r="B62" t="s">
        <v>238</v>
      </c>
    </row>
    <row r="63" spans="1:2" x14ac:dyDescent="0.25">
      <c r="A63" t="s">
        <v>59</v>
      </c>
      <c r="B63" t="s">
        <v>60</v>
      </c>
    </row>
    <row r="64" spans="1:2" x14ac:dyDescent="0.25">
      <c r="A64" t="s">
        <v>61</v>
      </c>
      <c r="B64" s="12" t="s">
        <v>239</v>
      </c>
    </row>
    <row r="65" spans="1:2" x14ac:dyDescent="0.25">
      <c r="A65" t="s">
        <v>62</v>
      </c>
      <c r="B65" t="s">
        <v>63</v>
      </c>
    </row>
    <row r="66" spans="1:2" x14ac:dyDescent="0.25">
      <c r="A66" t="s">
        <v>64</v>
      </c>
      <c r="B66" t="s">
        <v>65</v>
      </c>
    </row>
    <row r="67" spans="1:2" x14ac:dyDescent="0.25">
      <c r="A67" t="s">
        <v>66</v>
      </c>
      <c r="B67" t="s">
        <v>67</v>
      </c>
    </row>
    <row r="68" spans="1:2" x14ac:dyDescent="0.25">
      <c r="A68" t="s">
        <v>68</v>
      </c>
      <c r="B68" t="s">
        <v>240</v>
      </c>
    </row>
    <row r="69" spans="1:2" x14ac:dyDescent="0.25">
      <c r="A69" t="s">
        <v>69</v>
      </c>
      <c r="B69" t="s">
        <v>70</v>
      </c>
    </row>
    <row r="70" spans="1:2" x14ac:dyDescent="0.25">
      <c r="A70" t="s">
        <v>81</v>
      </c>
      <c r="B70" t="s">
        <v>80</v>
      </c>
    </row>
    <row r="71" spans="1:2" x14ac:dyDescent="0.25">
      <c r="A71" t="s">
        <v>71</v>
      </c>
      <c r="B71" t="s">
        <v>241</v>
      </c>
    </row>
    <row r="72" spans="1:2" x14ac:dyDescent="0.25">
      <c r="A72" t="s">
        <v>72</v>
      </c>
      <c r="B72" t="s">
        <v>242</v>
      </c>
    </row>
    <row r="73" spans="1:2" x14ac:dyDescent="0.25">
      <c r="A73" t="s">
        <v>243</v>
      </c>
      <c r="B73" t="s">
        <v>244</v>
      </c>
    </row>
    <row r="74" spans="1:2" x14ac:dyDescent="0.25">
      <c r="A74" t="s">
        <v>245</v>
      </c>
      <c r="B74" t="s">
        <v>246</v>
      </c>
    </row>
    <row r="75" spans="1:2" x14ac:dyDescent="0.25">
      <c r="A75" t="s">
        <v>110</v>
      </c>
      <c r="B75" t="s">
        <v>111</v>
      </c>
    </row>
    <row r="76" spans="1:2" x14ac:dyDescent="0.25">
      <c r="A76" t="s">
        <v>112</v>
      </c>
      <c r="B76" t="s">
        <v>247</v>
      </c>
    </row>
    <row r="77" spans="1:2" x14ac:dyDescent="0.25">
      <c r="A77" t="s">
        <v>83</v>
      </c>
      <c r="B77" t="s">
        <v>82</v>
      </c>
    </row>
    <row r="78" spans="1:2" x14ac:dyDescent="0.25">
      <c r="A78" t="s">
        <v>85</v>
      </c>
      <c r="B78" t="s">
        <v>84</v>
      </c>
    </row>
    <row r="79" spans="1:2" x14ac:dyDescent="0.25">
      <c r="A79" t="s">
        <v>86</v>
      </c>
      <c r="B79" t="s">
        <v>87</v>
      </c>
    </row>
  </sheetData>
  <phoneticPr fontId="0" type="noConversion"/>
  <pageMargins left="0.75" right="0.75" top="1" bottom="1" header="0.5" footer="0.5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1AF3-5D06-43B0-AFDA-00FD2B657B0E}">
  <dimension ref="A1:B2"/>
  <sheetViews>
    <sheetView workbookViewId="0">
      <selection activeCell="B2" sqref="B2"/>
    </sheetView>
  </sheetViews>
  <sheetFormatPr defaultRowHeight="13.2" x14ac:dyDescent="0.25"/>
  <cols>
    <col min="1" max="1" width="0.44140625" customWidth="1"/>
    <col min="2" max="2" width="20" customWidth="1"/>
  </cols>
  <sheetData>
    <row r="1" spans="1:2" x14ac:dyDescent="0.25">
      <c r="B1" t="s">
        <v>73</v>
      </c>
    </row>
    <row r="2" spans="1:2" ht="150" customHeight="1" x14ac:dyDescent="0.25">
      <c r="A2" t="s">
        <v>74</v>
      </c>
      <c r="B2" s="13" t="s">
        <v>88</v>
      </c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6D6C7-4345-4D7E-BFAE-278738F2B5AA}">
  <dimension ref="A1:H6"/>
  <sheetViews>
    <sheetView workbookViewId="0"/>
  </sheetViews>
  <sheetFormatPr defaultRowHeight="13.2" x14ac:dyDescent="0.25"/>
  <cols>
    <col min="1" max="1" width="3.77734375" bestFit="1" customWidth="1"/>
    <col min="2" max="2" width="5.88671875" bestFit="1" customWidth="1"/>
    <col min="4" max="4" width="5.33203125" bestFit="1" customWidth="1"/>
    <col min="6" max="6" width="5.21875" bestFit="1" customWidth="1"/>
    <col min="7" max="7" width="4.6640625" bestFit="1" customWidth="1"/>
  </cols>
  <sheetData>
    <row r="1" spans="1:8" x14ac:dyDescent="0.25">
      <c r="A1" s="12" t="s">
        <v>279</v>
      </c>
      <c r="C1" s="12" t="s">
        <v>292</v>
      </c>
      <c r="D1" s="12" t="s">
        <v>293</v>
      </c>
      <c r="E1" s="12" t="s">
        <v>293</v>
      </c>
      <c r="F1" s="12" t="s">
        <v>293</v>
      </c>
      <c r="H1" s="12" t="s">
        <v>294</v>
      </c>
    </row>
    <row r="2" spans="1:8" x14ac:dyDescent="0.25">
      <c r="A2" s="12" t="s">
        <v>295</v>
      </c>
      <c r="B2" s="12" t="s">
        <v>296</v>
      </c>
      <c r="C2" s="12" t="s">
        <v>297</v>
      </c>
      <c r="D2" s="12" t="s">
        <v>298</v>
      </c>
      <c r="E2" s="12" t="s">
        <v>299</v>
      </c>
      <c r="F2" s="12" t="s">
        <v>296</v>
      </c>
      <c r="G2" s="12" t="s">
        <v>294</v>
      </c>
      <c r="H2" s="12" t="s">
        <v>299</v>
      </c>
    </row>
    <row r="3" spans="1:8" x14ac:dyDescent="0.25">
      <c r="A3">
        <v>1</v>
      </c>
      <c r="B3" s="12" t="s">
        <v>300</v>
      </c>
    </row>
    <row r="4" spans="1:8" x14ac:dyDescent="0.25">
      <c r="A4">
        <v>2</v>
      </c>
      <c r="B4" s="12" t="s">
        <v>301</v>
      </c>
      <c r="C4" s="12" t="s">
        <v>302</v>
      </c>
      <c r="D4">
        <v>25</v>
      </c>
      <c r="E4" s="12" t="s">
        <v>303</v>
      </c>
      <c r="F4" s="12" t="s">
        <v>304</v>
      </c>
      <c r="G4">
        <v>5</v>
      </c>
      <c r="H4" s="12" t="s">
        <v>305</v>
      </c>
    </row>
    <row r="5" spans="1:8" x14ac:dyDescent="0.25">
      <c r="A5">
        <v>3</v>
      </c>
      <c r="B5" s="12" t="s">
        <v>306</v>
      </c>
      <c r="C5" s="12" t="s">
        <v>307</v>
      </c>
      <c r="D5">
        <v>80</v>
      </c>
      <c r="E5" s="12" t="s">
        <v>308</v>
      </c>
      <c r="F5" s="12" t="s">
        <v>309</v>
      </c>
      <c r="G5">
        <v>10</v>
      </c>
      <c r="H5" s="12" t="s">
        <v>305</v>
      </c>
    </row>
    <row r="6" spans="1:8" x14ac:dyDescent="0.25">
      <c r="A6">
        <v>4</v>
      </c>
      <c r="B6" s="12" t="s">
        <v>306</v>
      </c>
      <c r="C6" s="12" t="s">
        <v>310</v>
      </c>
      <c r="D6">
        <v>2.9</v>
      </c>
      <c r="E6" s="12" t="s">
        <v>311</v>
      </c>
      <c r="F6" s="12" t="s">
        <v>312</v>
      </c>
      <c r="G6">
        <v>8</v>
      </c>
      <c r="H6" s="12" t="s">
        <v>313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Plot Data</vt:lpstr>
      <vt:lpstr>Treatment Means</vt:lpstr>
      <vt:lpstr>Subsample Plot Data</vt:lpstr>
      <vt:lpstr>Subsample Treatment Means</vt:lpstr>
      <vt:lpstr>Applications</vt:lpstr>
      <vt:lpstr>Comments</vt:lpstr>
      <vt:lpstr>Treatments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R. Gylling, Ph.D.</dc:creator>
  <cp:lastModifiedBy>Parminder Brar</cp:lastModifiedBy>
  <dcterms:created xsi:type="dcterms:W3CDTF">2001-01-08T19:11:01Z</dcterms:created>
  <dcterms:modified xsi:type="dcterms:W3CDTF">2026-04-19T10:00:59Z</dcterms:modified>
</cp:coreProperties>
</file>